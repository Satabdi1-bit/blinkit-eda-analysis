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d5cb0c9cb02271b/Desktop/Git2026/Blinkit/"/>
    </mc:Choice>
  </mc:AlternateContent>
  <xr:revisionPtr revIDLastSave="0" documentId="8_{C9F9456D-687C-4211-915B-A7C6101E3AAA}"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 name="BlinkIT Grocery Data" sheetId="1" r:id="rId3"/>
  </sheets>
  <definedNames>
    <definedName name="_xlchart.v2.0" hidden="1">'Sheets Design'!$D$84:$D$86</definedName>
    <definedName name="_xlchart.v2.1" hidden="1">'Sheets Design'!$E$83</definedName>
    <definedName name="_xlchart.v2.2" hidden="1">'Sheets Design'!$E$84:$E$86</definedName>
    <definedName name="_xlchart.v2.3" hidden="1">'Sheets Design'!$D$84:$D$86</definedName>
    <definedName name="_xlchart.v2.4" hidden="1">'Sheets Design'!$E$83</definedName>
    <definedName name="_xlchart.v2.5" hidden="1">'Sheets Design'!$E$84:$E$86</definedName>
    <definedName name="_xlchart.v2.6" hidden="1">'Sheets Design'!$D$84:$D$86</definedName>
    <definedName name="_xlchart.v2.7" hidden="1">'Sheets Design'!$E$83</definedName>
    <definedName name="_xlchart.v2.8" hidden="1">'Sheets Design'!$E$84:$E$86</definedName>
    <definedName name="Slicer_Item_Type">#N/A</definedName>
    <definedName name="Slicer_Outlet_Location_Type">#N/A</definedName>
    <definedName name="Slicer_Outlet_Siz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2" l="1"/>
  <c r="D86" i="2"/>
  <c r="D84" i="2"/>
  <c r="E84" i="2"/>
  <c r="E85" i="2"/>
  <c r="E86" i="2"/>
  <c r="D8" i="2"/>
  <c r="C8" i="2"/>
  <c r="B8" i="2"/>
  <c r="A8" i="2"/>
</calcChain>
</file>

<file path=xl/sharedStrings.xml><?xml version="1.0" encoding="utf-8"?>
<sst xmlns="http://schemas.openxmlformats.org/spreadsheetml/2006/main" count="59761" uniqueCount="1633">
  <si>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</si>
  <si>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</si>
  <si>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</si>
  <si>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</si>
  <si>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</si>
  <si>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</si>
  <si>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</si>
  <si>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</si>
  <si>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</si>
  <si>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</si>
  <si>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</si>
  <si>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</si>
  <si>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</si>
  <si>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</si>
  <si>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</si>
  <si>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</si>
  <si>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</si>
  <si>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</si>
  <si>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</si>
  <si>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</si>
  <si>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</si>
  <si>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</si>
  <si>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</si>
  <si>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</si>
  <si>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</si>
  <si>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</si>
  <si>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</si>
  <si>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</si>
  <si>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</si>
  <si>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</si>
  <si>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</si>
  <si>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</si>
  <si>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</si>
  <si>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</si>
  <si>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</si>
  <si>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</si>
  <si>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</si>
  <si>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</si>
  <si>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</si>
  <si>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</si>
  <si>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</si>
  <si>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</si>
  <si>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</si>
  <si>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</si>
  <si>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</si>
  <si>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</si>
  <si>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</si>
  <si>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</si>
  <si>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</si>
  <si>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</si>
  <si>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</si>
  <si>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</si>
  <si>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</si>
  <si>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</si>
  <si>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</si>
  <si>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</si>
  <si>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</si>
  <si>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</si>
  <si>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</si>
  <si>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</si>
  <si>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</si>
  <si>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</si>
  <si>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</si>
  <si>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</si>
  <si>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</si>
  <si>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</si>
  <si>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</si>
  <si>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</si>
  <si>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</si>
  <si>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</si>
  <si>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</si>
  <si>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</si>
  <si>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</si>
  <si>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</si>
  <si>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</si>
  <si>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</si>
  <si>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</si>
  <si>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</si>
  <si>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</si>
  <si>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</si>
  <si>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</si>
  <si>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</si>
  <si>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</si>
  <si>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</si>
  <si>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</si>
  <si>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</si>
  <si>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</si>
  <si>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</si>
  <si>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</si>
  <si>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</si>
  <si>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</si>
  <si>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</si>
  <si>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</si>
  <si>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</si>
  <si>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</si>
  <si>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</si>
  <si>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</si>
  <si>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</si>
  <si>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</si>
  <si>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</si>
  <si>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</si>
  <si>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</si>
  <si>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</si>
  <si>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</si>
  <si>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</si>
  <si>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</si>
  <si>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</si>
  <si>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</si>
  <si>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</si>
  <si>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</si>
  <si>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</si>
  <si>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</si>
  <si>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</si>
  <si>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</si>
  <si>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</si>
  <si>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</si>
  <si>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</si>
  <si>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</si>
  <si>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</si>
  <si>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</si>
  <si>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</si>
  <si>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</si>
  <si>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</si>
  <si>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</si>
  <si>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</si>
  <si>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</si>
  <si>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</si>
  <si>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</si>
  <si>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</si>
  <si>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</si>
  <si>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</si>
  <si>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</si>
  <si>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</si>
  <si>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</si>
  <si>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</si>
  <si>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</si>
  <si>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</si>
  <si>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</si>
  <si>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</si>
  <si>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</si>
  <si>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</si>
  <si>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</si>
  <si>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</si>
  <si>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</si>
  <si>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</si>
  <si>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</si>
  <si>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</si>
  <si>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</si>
  <si>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</si>
  <si>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</si>
  <si>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</si>
  <si>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</si>
  <si>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</si>
  <si>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</si>
  <si>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</si>
  <si>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</si>
  <si>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</si>
  <si>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</si>
  <si>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</si>
  <si>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</si>
  <si>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</si>
  <si>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</si>
  <si>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</si>
  <si>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</si>
  <si>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</si>
  <si>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</si>
  <si>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</si>
  <si>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</si>
  <si>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</si>
  <si>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</si>
  <si>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</si>
  <si>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</si>
  <si>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</si>
  <si>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</si>
  <si>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</si>
  <si>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</si>
  <si>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</si>
  <si>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</si>
  <si>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</si>
  <si>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</si>
  <si>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</si>
  <si>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</si>
  <si>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</si>
  <si>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</si>
  <si>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</si>
  <si>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</si>
  <si>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</si>
  <si>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</si>
  <si>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</si>
  <si>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</si>
  <si>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</si>
  <si>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</si>
  <si>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</si>
  <si>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</si>
  <si>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</si>
  <si>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</si>
  <si>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</si>
  <si>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</si>
  <si>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</si>
  <si>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</si>
  <si>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</si>
  <si>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</si>
  <si>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</si>
  <si>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</si>
  <si>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</si>
  <si>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</si>
  <si>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</si>
  <si>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</si>
  <si>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</si>
  <si>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</si>
  <si>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</si>
  <si>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</si>
  <si>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</si>
  <si>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</si>
  <si>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</si>
  <si>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</si>
  <si>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</si>
  <si>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</si>
  <si>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</si>
  <si>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</si>
  <si>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</si>
  <si>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</si>
  <si>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</si>
  <si>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</si>
  <si>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</si>
  <si>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</si>
  <si>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</si>
  <si>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</si>
  <si>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</si>
  <si>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</si>
  <si>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</si>
  <si>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</si>
  <si>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</si>
  <si>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</si>
  <si>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</si>
  <si>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</si>
  <si>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</si>
  <si>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</si>
  <si>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</si>
  <si>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</si>
  <si>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</si>
  <si>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</si>
  <si>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</si>
  <si>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</si>
  <si>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</si>
  <si>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</si>
  <si>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</si>
  <si>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</si>
  <si>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</si>
  <si>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</si>
  <si>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</si>
  <si>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</si>
  <si>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</si>
  <si>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</si>
  <si>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</si>
  <si>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</si>
  <si>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</si>
  <si>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</si>
  <si>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</si>
  <si>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</si>
  <si>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</si>
  <si>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</si>
  <si>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</si>
  <si>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</si>
  <si>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</si>
  <si>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</si>
  <si>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</si>
  <si>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</si>
  <si>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</si>
  <si>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</si>
  <si>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</si>
  <si>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</si>
  <si>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</si>
  <si>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</si>
  <si>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</si>
  <si>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</si>
  <si>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</si>
  <si>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</si>
  <si>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</si>
  <si>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</si>
  <si>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</si>
  <si>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</si>
  <si>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</si>
  <si>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</si>
  <si>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</si>
  <si>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</si>
  <si>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</si>
  <si>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</si>
  <si>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</si>
  <si>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</si>
  <si>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</si>
  <si>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</si>
  <si>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</si>
  <si>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</si>
  <si>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</si>
  <si>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</si>
  <si>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</si>
  <si>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</si>
  <si>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</si>
  <si>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</si>
  <si>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</si>
  <si>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</si>
  <si>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</si>
  <si>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</si>
  <si>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</si>
  <si>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</si>
  <si>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</si>
  <si>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</si>
  <si>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</si>
  <si>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</si>
  <si>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</si>
  <si>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</si>
  <si>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</si>
  <si>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</si>
  <si>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</si>
  <si>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</si>
  <si>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</si>
  <si>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</si>
  <si>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</si>
  <si>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</si>
  <si>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</si>
  <si>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</si>
  <si>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</si>
  <si>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</si>
  <si>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</si>
  <si>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</si>
  <si>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</si>
  <si>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</si>
  <si>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</si>
  <si>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</si>
  <si>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</si>
  <si>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</si>
  <si>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</si>
  <si>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</si>
  <si>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</si>
  <si>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</si>
  <si>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</si>
  <si>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</si>
  <si>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</si>
  <si>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</si>
  <si>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</si>
  <si>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</si>
  <si>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</si>
  <si>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</si>
  <si>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</si>
  <si>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</si>
  <si>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</si>
  <si>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</si>
  <si>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</si>
  <si>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</si>
  <si>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</si>
  <si>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</si>
  <si>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</si>
  <si>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</si>
  <si>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</si>
  <si>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</si>
  <si>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</si>
  <si>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</si>
  <si>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</si>
  <si>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</si>
  <si>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</si>
  <si>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</si>
  <si>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</si>
  <si>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</si>
  <si>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</si>
  <si>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</si>
  <si>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</si>
  <si>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</si>
  <si>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</si>
  <si>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</si>
  <si>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</si>
  <si>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</si>
  <si>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</si>
  <si>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</si>
  <si>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</si>
  <si>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</si>
  <si>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</si>
  <si>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</si>
  <si>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</si>
  <si>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</si>
  <si>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</si>
  <si>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</si>
  <si>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</si>
  <si>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</si>
  <si>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</si>
  <si>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</si>
  <si>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</si>
  <si>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</si>
  <si>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</si>
  <si>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</si>
  <si>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</si>
  <si>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</si>
  <si>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</si>
  <si>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</si>
  <si>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</si>
  <si>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</si>
  <si>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</si>
  <si>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</si>
  <si>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</si>
  <si>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</si>
  <si>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</si>
  <si>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</si>
  <si>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</si>
  <si>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</si>
  <si>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</si>
  <si>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</si>
  <si>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</si>
  <si>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</si>
  <si>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</si>
  <si>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</si>
  <si>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</si>
  <si>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</si>
  <si>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</si>
  <si>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</si>
  <si>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</si>
  <si>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</si>
  <si>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</si>
  <si>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</si>
  <si>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</si>
  <si>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</si>
  <si>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</si>
  <si>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</si>
  <si>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</si>
  <si>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</si>
  <si>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</si>
  <si>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</si>
  <si>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</si>
  <si>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</si>
  <si>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</si>
  <si>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</si>
  <si>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</si>
  <si>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</si>
  <si>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</si>
  <si>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</si>
  <si>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</si>
  <si>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</si>
  <si>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</si>
  <si>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</si>
  <si>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</si>
  <si>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</si>
  <si>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</si>
  <si>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</si>
  <si>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</si>
  <si>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</si>
  <si>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</si>
  <si>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</si>
  <si>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</si>
  <si>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</si>
  <si>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</si>
  <si>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</si>
  <si>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</si>
  <si>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</si>
  <si>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</si>
  <si>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</si>
  <si>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</si>
  <si>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</si>
  <si>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</si>
  <si>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</si>
  <si>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</si>
  <si>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</si>
  <si>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</si>
  <si>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</si>
  <si>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</si>
  <si>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</si>
  <si>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</si>
  <si>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</si>
  <si>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</si>
  <si>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</si>
  <si>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</si>
  <si>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</si>
  <si>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</si>
  <si>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</si>
  <si>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</si>
  <si>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</si>
  <si>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</si>
  <si>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</si>
  <si>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</si>
  <si>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</si>
  <si>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</si>
  <si>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</si>
  <si>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</si>
  <si>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</si>
  <si>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</si>
  <si>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</si>
  <si>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</si>
  <si>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</si>
  <si>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</si>
  <si>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</si>
  <si>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</si>
  <si>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</si>
  <si>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</si>
  <si>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</si>
  <si>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</si>
  <si>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</si>
  <si>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</si>
  <si>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</si>
  <si>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</si>
  <si>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</si>
  <si>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</si>
  <si>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</si>
  <si>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</si>
  <si>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</si>
  <si>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</si>
  <si>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</si>
  <si>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</si>
  <si>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</si>
  <si>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</si>
  <si>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</si>
  <si>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</si>
  <si>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</si>
  <si>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</si>
  <si>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</si>
  <si>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</si>
  <si>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</si>
  <si>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</si>
  <si>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</si>
  <si>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</si>
  <si>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</si>
  <si>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</si>
  <si>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</si>
  <si>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</si>
  <si>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</si>
  <si>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</si>
  <si>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</si>
  <si>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</si>
  <si>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</si>
  <si>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</si>
  <si>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</si>
  <si>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</si>
  <si>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</si>
  <si>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</si>
  <si>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</si>
  <si>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</si>
  <si>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</si>
  <si>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</si>
  <si>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</si>
  <si>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</si>
  <si>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</si>
  <si>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</si>
  <si>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</si>
  <si>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</si>
  <si>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</si>
  <si>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</si>
  <si>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</si>
  <si>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</si>
  <si>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</si>
  <si>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</si>
  <si>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</si>
  <si>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</si>
  <si>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</si>
  <si>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</si>
  <si>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</si>
  <si>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</si>
  <si>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</si>
  <si>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</si>
  <si>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</si>
  <si>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</si>
  <si>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</si>
  <si>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</si>
  <si>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</si>
  <si>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</si>
  <si>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</si>
  <si>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</si>
  <si>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</si>
  <si>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</si>
  <si>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</si>
  <si>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</si>
  <si>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</si>
  <si>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</si>
  <si>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</si>
  <si>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</si>
  <si>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</si>
  <si>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</si>
  <si>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</si>
  <si>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</si>
  <si>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</si>
  <si>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</si>
  <si>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</si>
  <si>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</si>
  <si>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</si>
  <si>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</si>
  <si>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</si>
  <si>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</si>
  <si>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</si>
  <si>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</si>
  <si>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</si>
  <si>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</si>
  <si>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</si>
  <si>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</si>
  <si>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</si>
  <si>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</si>
  <si>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</si>
  <si>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</si>
  <si>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</si>
  <si>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</si>
  <si>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</si>
  <si>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</si>
  <si>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</si>
  <si>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</si>
  <si>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</si>
  <si>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</si>
  <si>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</si>
  <si>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</si>
  <si>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</si>
  <si>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</si>
  <si>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</si>
  <si>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</si>
  <si>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</si>
  <si>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</si>
  <si>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</si>
  <si>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</si>
  <si>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</si>
  <si>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</si>
  <si>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</si>
  <si>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</si>
  <si>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</si>
  <si>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</si>
  <si>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</si>
  <si>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</si>
  <si>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</si>
  <si>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</si>
  <si>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</si>
  <si>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</si>
  <si>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</si>
  <si>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</si>
  <si>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</si>
  <si>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</si>
  <si>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</si>
  <si>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</si>
  <si>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</si>
  <si>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</si>
  <si>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</si>
  <si>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</si>
  <si>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</si>
  <si>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</si>
  <si>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</si>
  <si>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</si>
  <si>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</si>
  <si>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</si>
  <si>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</si>
  <si>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</si>
  <si>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</si>
  <si>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</si>
  <si>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</si>
  <si>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</si>
  <si>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</si>
  <si>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</si>
  <si>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</si>
  <si>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</si>
  <si>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</si>
  <si>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</si>
  <si>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</si>
  <si>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</si>
  <si>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</si>
  <si>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</si>
  <si>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</si>
  <si>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</si>
  <si>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</si>
  <si>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</si>
  <si>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</si>
  <si>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</si>
  <si>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</si>
  <si>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</si>
  <si>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</si>
  <si>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</si>
  <si>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</si>
  <si>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</si>
  <si>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</si>
  <si>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</si>
  <si>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</si>
  <si>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</si>
  <si>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</si>
  <si>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</si>
  <si>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</si>
  <si>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</si>
  <si>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</si>
  <si>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</si>
  <si>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</si>
  <si>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</si>
  <si>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</si>
  <si>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</si>
  <si>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</si>
  <si>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</si>
  <si>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</si>
  <si>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</si>
  <si>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</si>
  <si>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</si>
  <si>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</si>
  <si>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</si>
  <si>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</si>
  <si>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</si>
  <si>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</si>
  <si>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</si>
  <si>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</si>
  <si>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</si>
  <si>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</si>
  <si>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</si>
  <si>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</si>
  <si>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</si>
  <si>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</si>
  <si>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</si>
  <si>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</si>
  <si>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</si>
  <si>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</si>
  <si>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</si>
  <si>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</si>
  <si>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</si>
  <si>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</si>
  <si>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</si>
  <si>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</si>
  <si>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</si>
  <si>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</si>
  <si>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</si>
  <si>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</si>
  <si>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</si>
  <si>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</si>
  <si>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</si>
  <si>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</si>
  <si>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</si>
  <si>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</si>
  <si>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</si>
  <si>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</si>
  <si>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</si>
  <si>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</si>
  <si>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</si>
  <si>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</si>
  <si>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</si>
  <si>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</si>
  <si>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</si>
  <si>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</si>
  <si>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</si>
  <si>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</si>
  <si>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</si>
  <si>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</si>
  <si>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</si>
  <si>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</si>
  <si>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</si>
  <si>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</si>
  <si>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</si>
  <si>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</si>
  <si>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</si>
  <si>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</si>
  <si>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</si>
  <si>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</si>
  <si>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</si>
  <si>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</si>
  <si>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</si>
  <si>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</si>
  <si>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</si>
  <si>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</si>
  <si>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</si>
  <si>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</si>
  <si>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</si>
  <si>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</si>
  <si>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</si>
  <si>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</si>
  <si>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</si>
  <si>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</si>
  <si>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</si>
  <si>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</si>
  <si>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</si>
  <si>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</si>
  <si>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</si>
  <si>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</si>
  <si>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</si>
  <si>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</si>
  <si>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</si>
  <si>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</si>
  <si>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</si>
  <si>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</si>
  <si>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</si>
  <si>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</si>
  <si>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</si>
  <si>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</si>
  <si>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</si>
  <si>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</si>
  <si>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</si>
  <si>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</si>
  <si>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</si>
  <si>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</si>
  <si>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</si>
  <si>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</si>
  <si>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</si>
  <si>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</si>
  <si>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</si>
  <si>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</si>
  <si>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</si>
  <si>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</si>
  <si>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</si>
  <si>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</si>
  <si>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</si>
  <si>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</si>
  <si>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</si>
  <si>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</si>
  <si>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</si>
  <si>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</si>
  <si>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</si>
  <si>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</si>
  <si>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</si>
  <si>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</si>
  <si>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</si>
  <si>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</si>
  <si>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</si>
  <si>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</si>
  <si>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</si>
  <si>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</si>
  <si>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</si>
  <si>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</si>
  <si>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</si>
  <si>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</si>
  <si>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</si>
  <si>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</si>
  <si>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</si>
  <si>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</si>
  <si>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</si>
  <si>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</si>
  <si>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</si>
  <si>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</si>
  <si>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</si>
  <si>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</si>
  <si>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</si>
  <si>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</si>
  <si>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</si>
  <si>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</si>
  <si>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</si>
  <si>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</si>
  <si>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</si>
  <si>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</si>
  <si>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</si>
  <si>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</si>
  <si>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</si>
  <si>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</si>
  <si>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</si>
  <si>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</si>
  <si>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</si>
  <si>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</si>
  <si>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</si>
  <si>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</si>
  <si>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</si>
  <si>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</si>
  <si>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</si>
  <si>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</si>
  <si>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</si>
  <si>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</si>
  <si>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</si>
  <si>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</si>
  <si>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</si>
  <si>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</si>
  <si>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</si>
  <si>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</si>
  <si>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</si>
  <si>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</si>
  <si>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</si>
  <si>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</si>
  <si>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</si>
  <si>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</si>
  <si>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</si>
  <si>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</si>
  <si>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</si>
  <si>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</si>
  <si>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</si>
  <si>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</si>
  <si>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</si>
  <si>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</si>
  <si>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</si>
  <si>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</si>
  <si>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</si>
  <si>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</si>
  <si>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</si>
  <si>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</si>
  <si>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</si>
  <si>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</si>
  <si>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</si>
  <si>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</si>
  <si>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</si>
  <si>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</si>
  <si>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</si>
  <si>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</si>
  <si>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</si>
  <si>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</si>
  <si>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</si>
  <si>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</si>
  <si>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</si>
  <si>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</si>
  <si>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</si>
  <si>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</si>
  <si>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</si>
  <si>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</si>
  <si>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</si>
  <si>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</si>
  <si>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</si>
  <si>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</si>
  <si>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</si>
  <si>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</si>
  <si>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</si>
  <si>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</si>
  <si>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</si>
  <si>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</si>
  <si>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</si>
  <si>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</si>
  <si>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</si>
  <si>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</si>
  <si>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</si>
  <si>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</si>
  <si>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</si>
  <si>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</si>
  <si>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</si>
  <si>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</si>
  <si>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</si>
  <si>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</si>
  <si>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</si>
  <si>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</si>
  <si>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</si>
  <si>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</si>
  <si>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</si>
  <si>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</si>
  <si>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</si>
  <si>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</si>
  <si>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</si>
  <si>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</si>
  <si>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</si>
  <si>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</si>
  <si>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</si>
  <si>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</si>
  <si>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</si>
  <si>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</si>
  <si>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</si>
  <si>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</si>
  <si>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</si>
  <si>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</si>
  <si>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</si>
  <si>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</si>
  <si>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</si>
  <si>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</si>
  <si>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</si>
  <si>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</si>
  <si>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</si>
  <si>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</si>
  <si>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</si>
  <si>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</si>
  <si>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</si>
  <si>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</si>
  <si>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</si>
  <si>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</si>
  <si>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</si>
  <si>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</si>
  <si>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</si>
  <si>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</si>
  <si>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</si>
  <si>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</si>
  <si>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</si>
  <si>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</si>
  <si>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</si>
  <si>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</si>
  <si>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</si>
  <si>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</si>
  <si>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</si>
  <si>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</si>
  <si>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</si>
  <si>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</si>
  <si>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</si>
  <si>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</si>
  <si>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</si>
  <si>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</si>
  <si>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</si>
  <si>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</si>
  <si>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</si>
  <si>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</si>
  <si>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</si>
  <si>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</si>
  <si>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</si>
  <si>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</si>
  <si>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</si>
  <si>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</si>
  <si>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</si>
  <si>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</si>
  <si>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</si>
  <si>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</si>
  <si>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</si>
  <si>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</si>
  <si>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</si>
  <si>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</si>
  <si>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</si>
  <si>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</si>
  <si>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</si>
  <si>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</si>
  <si>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</si>
  <si>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</si>
  <si>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</si>
  <si>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</si>
  <si>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</si>
  <si>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</si>
  <si>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</si>
  <si>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</si>
  <si>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</si>
  <si>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</si>
  <si>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</si>
  <si>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</si>
  <si>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</si>
  <si>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</si>
  <si>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</si>
  <si>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</si>
  <si>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</si>
  <si>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</si>
  <si>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</si>
  <si>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</si>
  <si>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</si>
  <si>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</si>
  <si>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</si>
  <si>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</si>
  <si>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</si>
  <si>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</si>
  <si>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</si>
  <si>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</si>
  <si>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</si>
  <si>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</si>
  <si>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</si>
  <si>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</si>
  <si>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</si>
  <si>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</si>
  <si>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</si>
  <si>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</si>
  <si>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</si>
  <si>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</si>
  <si>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</si>
  <si>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</si>
  <si>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</si>
  <si>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</si>
  <si>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</si>
  <si>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</si>
  <si>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</si>
  <si>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</si>
  <si>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</si>
  <si>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</si>
  <si>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</si>
  <si>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</si>
  <si>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</si>
  <si>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</si>
  <si>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</si>
  <si>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</si>
  <si>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</si>
  <si>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</si>
  <si>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</si>
  <si>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</si>
  <si>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</si>
  <si>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</si>
  <si>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</si>
  <si>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</si>
  <si>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</si>
  <si>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</si>
  <si>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</si>
  <si>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</si>
  <si>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</si>
  <si>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</si>
  <si>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</si>
  <si>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</si>
  <si>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</si>
  <si>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</si>
  <si>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</si>
  <si>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</si>
  <si>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</si>
  <si>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</si>
  <si>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</si>
  <si>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</si>
  <si>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</si>
  <si>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</si>
  <si>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</si>
  <si>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</si>
  <si>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</si>
  <si>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</si>
  <si>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</si>
  <si>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</si>
  <si>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</si>
  <si>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</si>
  <si>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</si>
  <si>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</si>
  <si>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</si>
  <si>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</si>
  <si>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</si>
  <si>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</si>
  <si>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</si>
  <si>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</si>
  <si>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</si>
  <si>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</si>
  <si>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</si>
  <si>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</si>
  <si>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</si>
  <si>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</si>
  <si>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</si>
  <si>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</si>
  <si>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</si>
  <si>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</si>
  <si>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</si>
  <si>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</si>
  <si>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</si>
  <si>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</si>
  <si>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</si>
  <si>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</si>
  <si>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</si>
  <si>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</si>
  <si>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</si>
  <si>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</si>
  <si>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</si>
  <si>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</si>
  <si>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</si>
  <si>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</si>
  <si>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</si>
  <si>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</si>
  <si>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</si>
  <si>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</si>
  <si>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</si>
  <si>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</si>
  <si>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</si>
  <si>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</si>
  <si>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</si>
  <si>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</si>
  <si>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</si>
  <si>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</si>
  <si>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</si>
  <si>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</si>
  <si>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</si>
  <si>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</si>
  <si>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</si>
  <si>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</si>
  <si>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</si>
  <si>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</si>
  <si>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</si>
  <si>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</si>
  <si>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</si>
  <si>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</si>
  <si>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</si>
  <si>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</si>
  <si>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</si>
  <si>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</si>
  <si>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</si>
  <si>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</si>
  <si>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</si>
  <si>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</si>
  <si>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</si>
  <si>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</si>
  <si>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</si>
  <si>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</si>
  <si>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</si>
  <si>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</si>
  <si>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</si>
  <si>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</si>
  <si>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</si>
  <si>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</si>
  <si>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</si>
  <si>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</si>
  <si>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</si>
  <si>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</si>
  <si>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</si>
  <si>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</si>
  <si>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</si>
  <si>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</si>
  <si>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</si>
  <si>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</si>
  <si>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</si>
  <si>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</si>
  <si>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</si>
  <si>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</si>
  <si>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</si>
  <si>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</si>
  <si>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</si>
  <si>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</si>
  <si>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</si>
  <si>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</si>
  <si>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</si>
  <si>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</si>
  <si>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</si>
  <si>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</si>
  <si>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</si>
  <si>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</si>
  <si>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</si>
  <si>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</si>
  <si>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</si>
  <si>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</si>
  <si>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</si>
  <si>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</si>
  <si>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</si>
  <si>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</si>
  <si>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</si>
  <si>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</si>
  <si>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</si>
  <si>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</si>
  <si>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</si>
  <si>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</si>
  <si>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</si>
  <si>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</si>
  <si>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</si>
  <si>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</si>
  <si>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</si>
  <si>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</si>
  <si>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</si>
  <si>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</si>
  <si>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</si>
  <si>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</si>
  <si>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</si>
  <si>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</si>
  <si>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</si>
  <si>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</si>
  <si>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</si>
  <si>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</si>
  <si>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</si>
  <si>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</si>
  <si>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</si>
  <si>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</si>
  <si>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</si>
  <si>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</si>
  <si>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</si>
  <si>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</si>
  <si>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</si>
  <si>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</si>
  <si>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</si>
  <si>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</si>
  <si>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</si>
  <si>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</si>
  <si>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</si>
  <si>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</si>
  <si>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</si>
  <si>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</si>
  <si>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</si>
  <si>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</si>
  <si>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</si>
  <si>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</si>
  <si>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</si>
  <si>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</si>
  <si>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</si>
  <si>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</si>
  <si>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</si>
  <si>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</si>
  <si>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</si>
  <si>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</si>
  <si>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</si>
  <si>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</si>
  <si>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</si>
  <si>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</si>
  <si>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</si>
  <si>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</si>
  <si>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</si>
  <si>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</si>
  <si>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</si>
  <si>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</si>
  <si>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</si>
  <si>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</si>
  <si>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</si>
  <si>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</si>
  <si>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</si>
  <si>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</si>
  <si>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</si>
  <si>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</si>
  <si>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</si>
  <si>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</si>
  <si>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</si>
  <si>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</si>
  <si>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</si>
  <si>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</si>
  <si>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</si>
  <si>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</si>
  <si>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</si>
  <si>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</si>
  <si>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</si>
  <si>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</si>
  <si>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</si>
  <si>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</si>
  <si>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</si>
  <si>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</si>
  <si>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</si>
  <si>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</si>
  <si>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</si>
  <si>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</si>
  <si>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</si>
  <si>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</si>
  <si>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</si>
  <si>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</si>
  <si>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</si>
  <si>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</si>
  <si>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</si>
  <si>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</si>
  <si>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</si>
  <si>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</si>
  <si>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</si>
  <si>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</si>
  <si>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</si>
  <si>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</si>
  <si>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</si>
  <si>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</si>
  <si>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</si>
  <si>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</si>
  <si>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</si>
  <si>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</si>
  <si>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</si>
  <si>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</si>
  <si>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</si>
  <si>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</si>
  <si>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</si>
  <si>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</si>
  <si>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</si>
  <si>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</si>
  <si>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</si>
  <si>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</si>
  <si>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</si>
  <si>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</si>
  <si>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</si>
  <si>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</si>
  <si>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</si>
  <si>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</si>
  <si>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</si>
  <si>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</si>
  <si>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</si>
  <si>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</si>
  <si>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</si>
  <si>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</si>
  <si>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</si>
  <si>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</si>
  <si>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</si>
  <si>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</si>
  <si>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</si>
  <si>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</si>
  <si>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</si>
  <si>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</si>
  <si>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</si>
  <si>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</si>
  <si>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</si>
  <si>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</si>
  <si>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</si>
  <si>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</si>
  <si>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</si>
  <si>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</si>
  <si>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</si>
  <si>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</si>
  <si>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</si>
  <si>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</si>
  <si>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</si>
  <si>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</si>
  <si>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</si>
  <si>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</si>
  <si>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</si>
  <si>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</si>
  <si>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</si>
  <si>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</si>
  <si>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</si>
  <si>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</si>
  <si>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</si>
  <si>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</si>
  <si>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</si>
  <si>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</si>
  <si>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</si>
  <si>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</si>
  <si>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</si>
  <si>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</si>
  <si>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</si>
  <si>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</si>
  <si>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</si>
  <si>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</si>
  <si>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</si>
  <si>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</si>
  <si>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</si>
  <si>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</si>
  <si>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</si>
  <si>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</si>
  <si>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</si>
  <si>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</si>
  <si>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</si>
  <si>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</si>
  <si>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</si>
  <si>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</si>
  <si>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</si>
  <si>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</si>
  <si>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</si>
  <si>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</si>
  <si>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</si>
  <si>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</si>
  <si>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</si>
  <si>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</si>
  <si>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</si>
  <si>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</si>
  <si>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</si>
  <si>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</si>
  <si>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</si>
  <si>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</si>
  <si>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</si>
  <si>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</si>
  <si>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</si>
  <si>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</si>
  <si>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</si>
  <si>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</si>
  <si>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</si>
  <si>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</si>
  <si>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</si>
  <si>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</si>
  <si>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</si>
  <si>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</si>
  <si>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</si>
  <si>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</si>
  <si>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</si>
  <si>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</si>
  <si>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</si>
  <si>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</si>
  <si>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</si>
  <si>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</si>
  <si>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</si>
  <si>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</si>
  <si>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</si>
  <si>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</si>
  <si>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</si>
  <si>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</si>
  <si>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</si>
  <si>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</si>
  <si>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</si>
  <si>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</si>
  <si>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</si>
  <si>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</si>
  <si>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</si>
  <si>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</si>
  <si>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</si>
  <si>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</si>
  <si>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</si>
  <si>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</si>
  <si>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</si>
  <si>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</si>
  <si>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</si>
  <si>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</si>
  <si>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</si>
  <si>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</si>
  <si>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</si>
  <si>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</si>
  <si>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</si>
  <si>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</si>
  <si>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</si>
  <si>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</si>
  <si>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</si>
  <si>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</si>
  <si>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</si>
  <si>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</si>
  <si>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</si>
  <si>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</si>
  <si>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</si>
  <si>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</si>
  <si>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</si>
  <si>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</si>
  <si>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</si>
  <si>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</si>
  <si>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</si>
  <si>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</si>
  <si>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</si>
  <si>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</si>
  <si>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</si>
  <si>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</si>
  <si>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</si>
  <si>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</si>
  <si>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</si>
  <si>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</si>
  <si>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</si>
  <si>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</si>
  <si>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</si>
  <si>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</si>
  <si>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</si>
  <si>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</si>
  <si>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</si>
  <si>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</si>
  <si>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</si>
  <si>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</si>
  <si>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</si>
  <si>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</si>
  <si>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</si>
  <si>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</si>
  <si>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</si>
  <si>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</si>
  <si>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</si>
  <si>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</si>
  <si>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</si>
  <si>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</si>
  <si>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</si>
  <si>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</si>
  <si>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</si>
  <si>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</si>
  <si>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</si>
  <si>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</si>
  <si>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</si>
  <si>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</si>
  <si>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</si>
  <si>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</si>
  <si>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</si>
  <si>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</si>
  <si>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</si>
  <si>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</si>
  <si>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</si>
  <si>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</si>
  <si>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</si>
  <si>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</si>
  <si>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</si>
  <si>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</si>
  <si>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</si>
  <si>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</si>
  <si>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</si>
  <si>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</si>
  <si>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</si>
  <si>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</si>
  <si>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</si>
  <si>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</si>
  <si>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</si>
  <si>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</si>
  <si>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</si>
  <si>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</si>
  <si>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</si>
  <si>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</si>
  <si>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</si>
  <si>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</si>
  <si>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</si>
  <si>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</si>
  <si>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</si>
  <si>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</si>
  <si>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</si>
  <si>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</si>
  <si>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</si>
  <si>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</si>
  <si>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</si>
  <si>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</si>
  <si>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</si>
  <si>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</si>
  <si>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</si>
  <si>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</si>
  <si>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</si>
  <si>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</si>
  <si>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</si>
  <si>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</si>
  <si>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</si>
  <si>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</si>
  <si>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</si>
  <si>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</si>
  <si>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</si>
  <si>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</si>
  <si>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</si>
  <si>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</si>
  <si>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</si>
  <si>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</si>
  <si>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</si>
  <si>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</si>
  <si>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</si>
  <si>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</si>
  <si>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</si>
  <si>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</si>
  <si>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</si>
  <si>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</si>
  <si>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</si>
  <si>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</si>
  <si>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</si>
  <si>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</si>
  <si>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</si>
  <si>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</si>
  <si>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</si>
  <si>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</si>
  <si>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</si>
  <si>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</si>
  <si>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</si>
  <si>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</si>
  <si>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</si>
  <si>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</si>
  <si>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</si>
  <si>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</si>
  <si>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</si>
  <si>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</si>
  <si>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</si>
  <si>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</si>
  <si>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</si>
  <si>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</si>
  <si>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</si>
  <si>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</si>
  <si>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</si>
  <si>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</si>
  <si>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</si>
  <si>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</si>
  <si>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</si>
  <si>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</si>
  <si>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</si>
  <si>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</si>
  <si>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</si>
  <si>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</si>
  <si>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</si>
  <si>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</si>
  <si>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</si>
  <si>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</si>
  <si>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</si>
  <si>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</si>
  <si>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</si>
  <si>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</si>
  <si>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</si>
  <si>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</si>
  <si>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</si>
  <si>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</si>
  <si>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</si>
  <si>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</si>
  <si>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</si>
  <si>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</si>
  <si>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</si>
  <si>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</si>
  <si>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</si>
  <si>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</si>
  <si>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</si>
  <si>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</si>
  <si>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</si>
  <si>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</si>
  <si>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</si>
  <si>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</si>
  <si>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</si>
  <si>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</si>
  <si>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</si>
  <si>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</si>
  <si>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</si>
  <si>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</si>
  <si>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Sl No</t>
  </si>
  <si>
    <t>Count of Sl No</t>
  </si>
  <si>
    <t>No of items</t>
  </si>
  <si>
    <t>Average of Rating</t>
  </si>
  <si>
    <t>Total Sales</t>
  </si>
  <si>
    <t>Avg Sales</t>
  </si>
  <si>
    <t>No of Items</t>
  </si>
  <si>
    <t>Avg Rating</t>
  </si>
  <si>
    <t>KPI's Requirements</t>
  </si>
  <si>
    <t>Row Labels</t>
  </si>
  <si>
    <t>Grand Total</t>
  </si>
  <si>
    <t>Total Sales By Fat Contant</t>
  </si>
  <si>
    <t>Total Sales by Item Type</t>
  </si>
  <si>
    <t>Column Labels</t>
  </si>
  <si>
    <t>Fat Content By Outlet For Total Sales</t>
  </si>
  <si>
    <t>Total Sales by Outlet Establishment</t>
  </si>
  <si>
    <t>Sales by Outlet Size</t>
  </si>
  <si>
    <t>Outlet Location</t>
  </si>
  <si>
    <t>Sales By Outlet Location</t>
  </si>
  <si>
    <t>Average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</si>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</sst>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7" formatCode="&quot;$&quot;0.00,,&quot;M&quot;"/>
    <numFmt numFmtId="172" formatCode="0.00,&quot;K&quot;"/>
    <numFmt numFmtId="173"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1" xfId="0" applyBorder="1"/>
    <xf numFmtId="0" fontId="0" fillId="0" borderId="12" xfId="0" applyBorder="1"/>
    <xf numFmtId="0" fontId="0" fillId="0" borderId="13" xfId="0" applyBorder="1"/>
    <xf numFmtId="0" fontId="0" fillId="0" borderId="14" xfId="0" applyNumberFormat="1" applyBorder="1"/>
    <xf numFmtId="0" fontId="0" fillId="0" borderId="15" xfId="0" applyNumberFormat="1" applyBorder="1"/>
    <xf numFmtId="0" fontId="0" fillId="0" borderId="14" xfId="0" applyBorder="1"/>
    <xf numFmtId="0" fontId="0" fillId="0" borderId="0" xfId="0" applyBorder="1"/>
    <xf numFmtId="0" fontId="0" fillId="0" borderId="15" xfId="0" applyBorder="1"/>
    <xf numFmtId="165" fontId="0" fillId="0" borderId="17" xfId="0" applyNumberFormat="1" applyBorder="1"/>
    <xf numFmtId="0" fontId="0" fillId="0" borderId="17" xfId="0" applyBorder="1"/>
    <xf numFmtId="166" fontId="0" fillId="0" borderId="18" xfId="0" applyNumberFormat="1" applyBorder="1"/>
    <xf numFmtId="0" fontId="18" fillId="34" borderId="11" xfId="0" applyFont="1" applyFill="1" applyBorder="1" applyAlignment="1">
      <alignment horizontal="center"/>
    </xf>
    <xf numFmtId="0" fontId="18" fillId="34" borderId="12" xfId="0" applyFont="1" applyFill="1" applyBorder="1" applyAlignment="1">
      <alignment horizontal="center"/>
    </xf>
    <xf numFmtId="0" fontId="18" fillId="34" borderId="13" xfId="0" applyFont="1" applyFill="1" applyBorder="1" applyAlignment="1">
      <alignment horizontal="center"/>
    </xf>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7" fontId="0" fillId="0" borderId="16" xfId="0" applyNumberFormat="1" applyBorder="1"/>
    <xf numFmtId="0"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22" xfId="0" applyNumberFormat="1" applyBorder="1"/>
    <xf numFmtId="0" fontId="0" fillId="0" borderId="24" xfId="0" applyNumberFormat="1" applyBorder="1"/>
    <xf numFmtId="0" fontId="0" fillId="0" borderId="16" xfId="0" applyBorder="1"/>
    <xf numFmtId="0" fontId="0" fillId="0" borderId="18" xfId="0" applyBorder="1"/>
    <xf numFmtId="0" fontId="0" fillId="0" borderId="10" xfId="0" applyBorder="1"/>
    <xf numFmtId="0" fontId="0" fillId="0" borderId="10" xfId="0" applyBorder="1" applyAlignment="1">
      <alignment horizontal="left"/>
    </xf>
    <xf numFmtId="0" fontId="0" fillId="0" borderId="10" xfId="0" pivotButton="1" applyBorder="1"/>
    <xf numFmtId="0" fontId="0" fillId="0" borderId="11" xfId="0" applyNumberFormat="1" applyBorder="1"/>
    <xf numFmtId="0" fontId="0" fillId="0" borderId="13" xfId="0" applyNumberFormat="1" applyBorder="1"/>
    <xf numFmtId="0" fontId="0" fillId="0" borderId="21" xfId="0" pivotButton="1" applyBorder="1"/>
    <xf numFmtId="0" fontId="0" fillId="0" borderId="22" xfId="0" applyBorder="1" applyAlignment="1">
      <alignment horizontal="left"/>
    </xf>
    <xf numFmtId="172" fontId="0" fillId="0" borderId="22" xfId="0" applyNumberFormat="1" applyBorder="1"/>
    <xf numFmtId="172" fontId="0" fillId="0" borderId="24" xfId="0" applyNumberFormat="1" applyBorder="1"/>
    <xf numFmtId="172" fontId="0" fillId="0" borderId="23" xfId="0" applyNumberFormat="1" applyBorder="1"/>
    <xf numFmtId="172" fontId="0" fillId="0" borderId="0" xfId="0" applyNumberFormat="1" applyBorder="1"/>
    <xf numFmtId="173" fontId="0" fillId="0" borderId="22" xfId="0" applyNumberFormat="1" applyBorder="1"/>
    <xf numFmtId="173" fontId="0" fillId="0" borderId="24" xfId="0" applyNumberFormat="1" applyBorder="1"/>
    <xf numFmtId="0" fontId="16" fillId="33" borderId="0" xfId="0" applyFont="1" applyFill="1" applyBorder="1"/>
    <xf numFmtId="0" fontId="0" fillId="0" borderId="0" xfId="0" applyBorder="1" applyAlignment="1">
      <alignment horizontal="left"/>
    </xf>
    <xf numFmtId="173" fontId="0" fillId="0" borderId="0"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40">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numFmt numFmtId="173" formatCode="\$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Analysis" pivot="0" table="0" count="10" xr9:uid="{2A86668C-6B6C-4F9A-8312-63CAE3FF5EC6}">
      <tableStyleElement type="wholeTable" dxfId="1415"/>
      <tableStyleElement type="headerRow" dxfId="1414"/>
    </tableStyle>
    <tableStyle name="Blinkit Data Analysis" pivot="0" table="0" count="10" xr9:uid="{C17281EA-A532-4F6C-998B-6DDA57278204}">
      <tableStyleElement type="wholeTable" dxfId="1413"/>
      <tableStyleElement type="headerRow" dxfId="1412"/>
    </tableStyle>
  </tableStyles>
  <colors>
    <mruColors>
      <color rgb="FFFFD200"/>
      <color rgb="FFD0AC2C"/>
      <color rgb="FFFAFAFA"/>
      <color rgb="FFD09E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Data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10030204095887E-2"/>
          <c:y val="0.13002364066193853"/>
          <c:w val="0.54397634885439761"/>
          <c:h val="0.8699763593380615"/>
        </c:manualLayout>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Design'!$A$13:$A$15</c:f>
              <c:strCache>
                <c:ptCount val="2"/>
                <c:pt idx="0">
                  <c:v>Low Fat</c:v>
                </c:pt>
                <c:pt idx="1">
                  <c:v>Regular</c:v>
                </c:pt>
              </c:strCache>
            </c:strRef>
          </c:cat>
          <c:val>
            <c:numRef>
              <c:f>'Sheets Design'!$B$13:$B$15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0-D8FD-454E-B1AC-90BC6CD4BE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Design'!$A$24:$A$27</c:f>
              <c:strCache>
                <c:ptCount val="3"/>
                <c:pt idx="0">
                  <c:v>Tier 1</c:v>
                </c:pt>
                <c:pt idx="1">
                  <c:v>Tier 2</c:v>
                </c:pt>
                <c:pt idx="2">
                  <c:v>Tier 3</c:v>
                </c:pt>
              </c:strCache>
            </c:strRef>
          </c:cat>
          <c:val>
            <c:numRef>
              <c:f>'Sheets Design'!$B$24:$B$27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9775-4D9B-A115-2D922273E145}"/>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Design'!$A$24:$A$27</c:f>
              <c:strCache>
                <c:ptCount val="3"/>
                <c:pt idx="0">
                  <c:v>Tier 1</c:v>
                </c:pt>
                <c:pt idx="1">
                  <c:v>Tier 2</c:v>
                </c:pt>
                <c:pt idx="2">
                  <c:v>Tier 3</c:v>
                </c:pt>
              </c:strCache>
            </c:strRef>
          </c:cat>
          <c:val>
            <c:numRef>
              <c:f>'Sheets Design'!$C$24:$C$27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775-4D9B-A115-2D922273E145}"/>
            </c:ext>
          </c:extLst>
        </c:ser>
        <c:dLbls>
          <c:showLegendKey val="0"/>
          <c:showVal val="0"/>
          <c:showCatName val="0"/>
          <c:showSerName val="0"/>
          <c:showPercent val="0"/>
          <c:showBubbleSize val="0"/>
        </c:dLbls>
        <c:gapWidth val="182"/>
        <c:axId val="681388767"/>
        <c:axId val="681388287"/>
      </c:barChart>
      <c:catAx>
        <c:axId val="68138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88287"/>
        <c:crosses val="autoZero"/>
        <c:auto val="1"/>
        <c:lblAlgn val="ctr"/>
        <c:lblOffset val="100"/>
        <c:noMultiLvlLbl val="0"/>
      </c:catAx>
      <c:valAx>
        <c:axId val="681388287"/>
        <c:scaling>
          <c:orientation val="minMax"/>
        </c:scaling>
        <c:delete val="1"/>
        <c:axPos val="b"/>
        <c:numFmt formatCode="General" sourceLinked="1"/>
        <c:majorTickMark val="none"/>
        <c:minorTickMark val="none"/>
        <c:tickLblPos val="nextTo"/>
        <c:crossAx val="681388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97086587363506"/>
          <c:y val="8.4097247077069906E-2"/>
          <c:w val="0.48206617175917366"/>
          <c:h val="0.79977034120734891"/>
        </c:manualLayout>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A6D-4241-8A92-B9C86DFE78E1}"/>
            </c:ext>
          </c:extLst>
        </c:ser>
        <c:dLbls>
          <c:showLegendKey val="0"/>
          <c:showVal val="0"/>
          <c:showCatName val="0"/>
          <c:showSerName val="0"/>
          <c:showPercent val="0"/>
          <c:showBubbleSize val="0"/>
        </c:dLbls>
        <c:gapWidth val="182"/>
        <c:axId val="1339302639"/>
        <c:axId val="1339307439"/>
      </c:barChart>
      <c:catAx>
        <c:axId val="133930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07439"/>
        <c:crosses val="autoZero"/>
        <c:auto val="1"/>
        <c:lblAlgn val="ctr"/>
        <c:lblOffset val="100"/>
        <c:noMultiLvlLbl val="0"/>
      </c:catAx>
      <c:valAx>
        <c:axId val="1339307439"/>
        <c:scaling>
          <c:orientation val="minMax"/>
        </c:scaling>
        <c:delete val="1"/>
        <c:axPos val="b"/>
        <c:numFmt formatCode="0.00,&quot;K&quot;" sourceLinked="1"/>
        <c:majorTickMark val="none"/>
        <c:minorTickMark val="none"/>
        <c:tickLblPos val="nextTo"/>
        <c:crossAx val="133930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9492563429572"/>
          <c:y val="0.26328484981044037"/>
          <c:w val="0.70383092738407704"/>
          <c:h val="0.53774387576552929"/>
        </c:manualLayout>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Design'!$A$55:$A$64</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Design'!$B$55:$B$64</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3C6-48FD-B1C1-FD16EA6E3C58}"/>
            </c:ext>
          </c:extLst>
        </c:ser>
        <c:dLbls>
          <c:showLegendKey val="0"/>
          <c:showVal val="0"/>
          <c:showCatName val="0"/>
          <c:showSerName val="0"/>
          <c:showPercent val="0"/>
          <c:showBubbleSize val="0"/>
        </c:dLbls>
        <c:axId val="365945759"/>
        <c:axId val="365949119"/>
      </c:areaChart>
      <c:catAx>
        <c:axId val="365945759"/>
        <c:scaling>
          <c:orientation val="minMax"/>
        </c:scaling>
        <c:delete val="1"/>
        <c:axPos val="b"/>
        <c:numFmt formatCode="General" sourceLinked="1"/>
        <c:majorTickMark val="out"/>
        <c:minorTickMark val="none"/>
        <c:tickLblPos val="nextTo"/>
        <c:crossAx val="365949119"/>
        <c:crosses val="autoZero"/>
        <c:auto val="1"/>
        <c:lblAlgn val="ctr"/>
        <c:lblOffset val="100"/>
        <c:noMultiLvlLbl val="0"/>
      </c:catAx>
      <c:valAx>
        <c:axId val="365949119"/>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457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Design'!$B$70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Design'!$A$71:$A$74</c:f>
              <c:strCache>
                <c:ptCount val="3"/>
                <c:pt idx="0">
                  <c:v>High</c:v>
                </c:pt>
                <c:pt idx="1">
                  <c:v>Medium</c:v>
                </c:pt>
                <c:pt idx="2">
                  <c:v>Small</c:v>
                </c:pt>
              </c:strCache>
            </c:strRef>
          </c:cat>
          <c:val>
            <c:numRef>
              <c:f>'Sheets Design'!$B$71:$B$74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459-4F8B-AA94-11B5F0C09E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cat>
            <c:strRef>
              <c:f>'Sheets Design'!$A$96:$A$100</c:f>
              <c:strCache>
                <c:ptCount val="4"/>
                <c:pt idx="0">
                  <c:v>Grocery Store</c:v>
                </c:pt>
                <c:pt idx="1">
                  <c:v>Supermarket Type3</c:v>
                </c:pt>
                <c:pt idx="2">
                  <c:v>Supermarket Type2</c:v>
                </c:pt>
                <c:pt idx="3">
                  <c:v>Supermarket Type1</c:v>
                </c:pt>
              </c:strCache>
            </c:strRef>
          </c:cat>
          <c:val>
            <c:numRef>
              <c:f>'Sheets Design'!$B$96:$B$100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2B9-46E8-B6E2-E5A4BABECDB0}"/>
            </c:ext>
          </c:extLst>
        </c:ser>
        <c:dLbls>
          <c:showLegendKey val="0"/>
          <c:showVal val="0"/>
          <c:showCatName val="0"/>
          <c:showSerName val="0"/>
          <c:showPercent val="0"/>
          <c:showBubbleSize val="0"/>
        </c:dLbls>
        <c:gapWidth val="182"/>
        <c:axId val="908534367"/>
        <c:axId val="908532927"/>
      </c:barChart>
      <c:catAx>
        <c:axId val="90853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32927"/>
        <c:crosses val="autoZero"/>
        <c:auto val="1"/>
        <c:lblAlgn val="ctr"/>
        <c:lblOffset val="100"/>
        <c:noMultiLvlLbl val="0"/>
      </c:catAx>
      <c:valAx>
        <c:axId val="908532927"/>
        <c:scaling>
          <c:orientation val="minMax"/>
        </c:scaling>
        <c:delete val="1"/>
        <c:axPos val="b"/>
        <c:numFmt formatCode="0.00,&quot;K&quot;" sourceLinked="1"/>
        <c:majorTickMark val="none"/>
        <c:minorTickMark val="none"/>
        <c:tickLblPos val="nextTo"/>
        <c:crossAx val="90853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Design'!$A$107:$A$111</c:f>
              <c:strCache>
                <c:ptCount val="4"/>
                <c:pt idx="0">
                  <c:v>Grocery Store</c:v>
                </c:pt>
                <c:pt idx="1">
                  <c:v>Supermarket Type3</c:v>
                </c:pt>
                <c:pt idx="2">
                  <c:v>Supermarket Type2</c:v>
                </c:pt>
                <c:pt idx="3">
                  <c:v>Supermarket Type1</c:v>
                </c:pt>
              </c:strCache>
            </c:strRef>
          </c:cat>
          <c:val>
            <c:numRef>
              <c:f>'Sheets Design'!$B$107:$B$111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574-4AEC-A44A-56C4B8C5C2EA}"/>
            </c:ext>
          </c:extLst>
        </c:ser>
        <c:dLbls>
          <c:showLegendKey val="0"/>
          <c:showVal val="0"/>
          <c:showCatName val="0"/>
          <c:showSerName val="0"/>
          <c:showPercent val="0"/>
          <c:showBubbleSize val="0"/>
        </c:dLbls>
        <c:gapWidth val="182"/>
        <c:axId val="454879327"/>
        <c:axId val="454870687"/>
      </c:barChart>
      <c:catAx>
        <c:axId val="45487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70687"/>
        <c:crosses val="autoZero"/>
        <c:auto val="1"/>
        <c:lblAlgn val="ctr"/>
        <c:lblOffset val="100"/>
        <c:noMultiLvlLbl val="0"/>
      </c:catAx>
      <c:valAx>
        <c:axId val="4548706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Design'!$B$114</c:f>
              <c:strCache>
                <c:ptCount val="1"/>
                <c:pt idx="0">
                  <c:v>Total</c:v>
                </c:pt>
              </c:strCache>
            </c:strRef>
          </c:tx>
          <c:spPr>
            <a:solidFill>
              <a:schemeClr val="accent1"/>
            </a:solidFill>
            <a:ln>
              <a:noFill/>
            </a:ln>
            <a:effectLst/>
          </c:spPr>
          <c:invertIfNegative val="0"/>
          <c:cat>
            <c:strRef>
              <c:f>'Sheets Design'!$A$115:$A$119</c:f>
              <c:strCache>
                <c:ptCount val="4"/>
                <c:pt idx="0">
                  <c:v>Grocery Store</c:v>
                </c:pt>
                <c:pt idx="1">
                  <c:v>Supermarket Type3</c:v>
                </c:pt>
                <c:pt idx="2">
                  <c:v>Supermarket Type2</c:v>
                </c:pt>
                <c:pt idx="3">
                  <c:v>Supermarket Type1</c:v>
                </c:pt>
              </c:strCache>
            </c:strRef>
          </c:cat>
          <c:val>
            <c:numRef>
              <c:f>'Sheets Design'!$B$115:$B$119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A48-48A9-AF38-841814DE33D6}"/>
            </c:ext>
          </c:extLst>
        </c:ser>
        <c:dLbls>
          <c:showLegendKey val="0"/>
          <c:showVal val="0"/>
          <c:showCatName val="0"/>
          <c:showSerName val="0"/>
          <c:showPercent val="0"/>
          <c:showBubbleSize val="0"/>
        </c:dLbls>
        <c:gapWidth val="182"/>
        <c:axId val="1466230847"/>
        <c:axId val="1466228927"/>
      </c:barChart>
      <c:catAx>
        <c:axId val="146623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28927"/>
        <c:crosses val="autoZero"/>
        <c:auto val="1"/>
        <c:lblAlgn val="ctr"/>
        <c:lblOffset val="100"/>
        <c:noMultiLvlLbl val="0"/>
      </c:catAx>
      <c:valAx>
        <c:axId val="1466228927"/>
        <c:scaling>
          <c:orientation val="minMax"/>
        </c:scaling>
        <c:delete val="1"/>
        <c:axPos val="b"/>
        <c:numFmt formatCode="0" sourceLinked="1"/>
        <c:majorTickMark val="none"/>
        <c:minorTickMark val="none"/>
        <c:tickLblPos val="nextTo"/>
        <c:crossAx val="146623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38863511255755"/>
                  <c:h val="0.32233074691252545"/>
                </c:manualLayout>
              </c15:layout>
            </c:ext>
          </c:extLst>
        </c:dLbl>
      </c:pivotFmt>
      <c:pivotFmt>
        <c:idx val="6"/>
        <c:spPr>
          <a:solidFill>
            <a:schemeClr val="accent6">
              <a:lumMod val="75000"/>
            </a:schemeClr>
          </a:solidFill>
          <a:ln w="19050">
            <a:solidFill>
              <a:schemeClr val="lt1"/>
            </a:solid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94669777285395"/>
                  <c:h val="0.37489482749343833"/>
                </c:manualLayout>
              </c15:layout>
            </c:ext>
          </c:extLst>
        </c:dLbl>
      </c:pivotFmt>
    </c:pivotFmts>
    <c:plotArea>
      <c:layout>
        <c:manualLayout>
          <c:layoutTarget val="inner"/>
          <c:xMode val="edge"/>
          <c:yMode val="edge"/>
          <c:x val="0.10494751175794567"/>
          <c:y val="0.22820852271282691"/>
          <c:w val="0.79908716747148112"/>
          <c:h val="0.65858831445500388"/>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779D-45F1-81EA-49642757A89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79D-45F1-81EA-49642757A899}"/>
              </c:ext>
            </c:extLst>
          </c:dPt>
          <c:dLbls>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38863511255755"/>
                      <c:h val="0.32233074691252545"/>
                    </c:manualLayout>
                  </c15:layout>
                </c:ext>
                <c:ext xmlns:c16="http://schemas.microsoft.com/office/drawing/2014/chart" uri="{C3380CC4-5D6E-409C-BE32-E72D297353CC}">
                  <c16:uniqueId val="{00000001-779D-45F1-81EA-49642757A899}"/>
                </c:ext>
              </c:extLst>
            </c:dLbl>
            <c:dLbl>
              <c:idx val="1"/>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494669777285395"/>
                      <c:h val="0.37489482749343833"/>
                    </c:manualLayout>
                  </c15:layout>
                </c:ext>
                <c:ext xmlns:c16="http://schemas.microsoft.com/office/drawing/2014/chart" uri="{C3380CC4-5D6E-409C-BE32-E72D297353CC}">
                  <c16:uniqueId val="{00000003-779D-45F1-81EA-49642757A899}"/>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Design'!$A$13:$A$15</c:f>
              <c:strCache>
                <c:ptCount val="2"/>
                <c:pt idx="0">
                  <c:v>Low Fat</c:v>
                </c:pt>
                <c:pt idx="1">
                  <c:v>Regular</c:v>
                </c:pt>
              </c:strCache>
            </c:strRef>
          </c:cat>
          <c:val>
            <c:numRef>
              <c:f>'Sheets Design'!$B$13:$B$15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4-779D-45F1-81EA-49642757A89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9.0817282421095158E-2"/>
          <c:y val="4.505492621221107E-2"/>
          <c:w val="0.71812579732900361"/>
          <c:h val="0.1460796879138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81819572746647"/>
                  <c:h val="0.14920447449347643"/>
                </c:manualLayout>
              </c15:layout>
            </c:ext>
          </c:extLst>
        </c:dLbl>
      </c:pivotFmt>
      <c:pivotFmt>
        <c:idx val="7"/>
        <c:spPr>
          <a:solidFill>
            <a:srgbClr val="D09E00"/>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86401527573278"/>
                  <c:h val="0.12282772590889014"/>
                </c:manualLayout>
              </c15:layout>
            </c:ext>
          </c:extLst>
        </c:dLbl>
      </c:pivotFmt>
      <c:pivotFmt>
        <c:idx val="8"/>
        <c:spPr>
          <a:solidFill>
            <a:srgbClr val="D09E00"/>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81819572746647"/>
                  <c:h val="7.0074228739717553E-2"/>
                </c:manualLayout>
              </c15:layout>
            </c:ext>
          </c:extLst>
        </c:dLbl>
      </c:pivotFmt>
      <c:pivotFmt>
        <c:idx val="9"/>
        <c:spPr>
          <a:solidFill>
            <a:schemeClr val="accent6">
              <a:lumMod val="75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305786999612905"/>
                  <c:h val="0.21954247071903985"/>
                </c:manualLayout>
              </c15:layout>
            </c:ext>
          </c:extLst>
        </c:dLbl>
      </c:pivotFmt>
      <c:pivotFmt>
        <c:idx val="10"/>
        <c:spPr>
          <a:solidFill>
            <a:schemeClr val="accent6">
              <a:lumMod val="75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43274459813225"/>
                  <c:h val="0.13161997543708556"/>
                </c:manualLayout>
              </c15:layout>
            </c:ext>
          </c:extLst>
        </c:dLbl>
      </c:pivotFmt>
      <c:pivotFmt>
        <c:idx val="11"/>
        <c:spPr>
          <a:solidFill>
            <a:schemeClr val="accent6">
              <a:lumMod val="75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34110550159957"/>
                  <c:h val="0.1667889735498673"/>
                </c:manualLayout>
              </c15:layout>
            </c:ext>
          </c:extLst>
        </c:dLbl>
      </c:pivotFmt>
    </c:pivotFmts>
    <c:plotArea>
      <c:layout>
        <c:manualLayout>
          <c:layoutTarget val="inner"/>
          <c:xMode val="edge"/>
          <c:yMode val="edge"/>
          <c:x val="0.19764356317483503"/>
          <c:y val="0.17107502211908443"/>
          <c:w val="0.79332013094942411"/>
          <c:h val="0.81268077765024016"/>
        </c:manualLayout>
      </c:layout>
      <c:barChart>
        <c:barDir val="bar"/>
        <c:grouping val="clustered"/>
        <c:varyColors val="0"/>
        <c:ser>
          <c:idx val="0"/>
          <c:order val="0"/>
          <c:tx>
            <c:strRef>
              <c:f>'Sheets Design'!$B$22:$B$23</c:f>
              <c:strCache>
                <c:ptCount val="1"/>
                <c:pt idx="0">
                  <c:v>Regular</c:v>
                </c:pt>
              </c:strCache>
            </c:strRef>
          </c:tx>
          <c:spPr>
            <a:solidFill>
              <a:srgbClr val="D09E00"/>
            </a:solidFill>
            <a:ln>
              <a:noFill/>
            </a:ln>
            <a:effectLst/>
          </c:spPr>
          <c:invertIfNegative val="0"/>
          <c:dLbls>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81819572746647"/>
                      <c:h val="7.0074228739717553E-2"/>
                    </c:manualLayout>
                  </c15:layout>
                </c:ext>
                <c:ext xmlns:c16="http://schemas.microsoft.com/office/drawing/2014/chart" uri="{C3380CC4-5D6E-409C-BE32-E72D297353CC}">
                  <c16:uniqueId val="{00000006-C043-42EF-A725-35C3386A3D65}"/>
                </c:ext>
              </c:extLst>
            </c:dLbl>
            <c:dLbl>
              <c:idx val="1"/>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86401527573278"/>
                      <c:h val="0.12282772590889014"/>
                    </c:manualLayout>
                  </c15:layout>
                </c:ext>
                <c:ext xmlns:c16="http://schemas.microsoft.com/office/drawing/2014/chart" uri="{C3380CC4-5D6E-409C-BE32-E72D297353CC}">
                  <c16:uniqueId val="{00000005-C043-42EF-A725-35C3386A3D65}"/>
                </c:ext>
              </c:extLst>
            </c:dLbl>
            <c:dLbl>
              <c:idx val="2"/>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81819572746647"/>
                      <c:h val="0.14920447449347643"/>
                    </c:manualLayout>
                  </c15:layout>
                </c:ext>
                <c:ext xmlns:c16="http://schemas.microsoft.com/office/drawing/2014/chart" uri="{C3380CC4-5D6E-409C-BE32-E72D297353CC}">
                  <c16:uniqueId val="{00000004-C043-42EF-A725-35C3386A3D65}"/>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Design'!$A$24:$A$27</c:f>
              <c:strCache>
                <c:ptCount val="3"/>
                <c:pt idx="0">
                  <c:v>Tier 1</c:v>
                </c:pt>
                <c:pt idx="1">
                  <c:v>Tier 2</c:v>
                </c:pt>
                <c:pt idx="2">
                  <c:v>Tier 3</c:v>
                </c:pt>
              </c:strCache>
            </c:strRef>
          </c:cat>
          <c:val>
            <c:numRef>
              <c:f>'Sheets Design'!$B$24:$B$27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C043-42EF-A725-35C3386A3D65}"/>
            </c:ext>
          </c:extLst>
        </c:ser>
        <c:ser>
          <c:idx val="1"/>
          <c:order val="1"/>
          <c:tx>
            <c:strRef>
              <c:f>'Sheets Design'!$C$22:$C$23</c:f>
              <c:strCache>
                <c:ptCount val="1"/>
                <c:pt idx="0">
                  <c:v>Low Fat</c:v>
                </c:pt>
              </c:strCache>
            </c:strRef>
          </c:tx>
          <c:spPr>
            <a:solidFill>
              <a:schemeClr val="accent6">
                <a:lumMod val="75000"/>
              </a:schemeClr>
            </a:solidFill>
            <a:ln>
              <a:noFill/>
            </a:ln>
            <a:effectLst/>
          </c:spPr>
          <c:invertIfNegative val="0"/>
          <c:dLbls>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43274459813225"/>
                      <c:h val="0.13161997543708556"/>
                    </c:manualLayout>
                  </c15:layout>
                </c:ext>
                <c:ext xmlns:c16="http://schemas.microsoft.com/office/drawing/2014/chart" uri="{C3380CC4-5D6E-409C-BE32-E72D297353CC}">
                  <c16:uniqueId val="{00000008-C043-42EF-A725-35C3386A3D65}"/>
                </c:ext>
              </c:extLst>
            </c:dLbl>
            <c:dLbl>
              <c:idx val="1"/>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34110550159957"/>
                      <c:h val="0.1667889735498673"/>
                    </c:manualLayout>
                  </c15:layout>
                </c:ext>
                <c:ext xmlns:c16="http://schemas.microsoft.com/office/drawing/2014/chart" uri="{C3380CC4-5D6E-409C-BE32-E72D297353CC}">
                  <c16:uniqueId val="{00000009-C043-42EF-A725-35C3386A3D6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8305786999612905"/>
                      <c:h val="0.21954247071903985"/>
                    </c:manualLayout>
                  </c15:layout>
                </c:ext>
                <c:ext xmlns:c16="http://schemas.microsoft.com/office/drawing/2014/chart" uri="{C3380CC4-5D6E-409C-BE32-E72D297353CC}">
                  <c16:uniqueId val="{00000007-C043-42EF-A725-35C3386A3D65}"/>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Design'!$A$24:$A$27</c:f>
              <c:strCache>
                <c:ptCount val="3"/>
                <c:pt idx="0">
                  <c:v>Tier 1</c:v>
                </c:pt>
                <c:pt idx="1">
                  <c:v>Tier 2</c:v>
                </c:pt>
                <c:pt idx="2">
                  <c:v>Tier 3</c:v>
                </c:pt>
              </c:strCache>
            </c:strRef>
          </c:cat>
          <c:val>
            <c:numRef>
              <c:f>'Sheets Design'!$C$24:$C$27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2-C043-42EF-A725-35C3386A3D65}"/>
            </c:ext>
          </c:extLst>
        </c:ser>
        <c:dLbls>
          <c:dLblPos val="outEnd"/>
          <c:showLegendKey val="0"/>
          <c:showVal val="1"/>
          <c:showCatName val="0"/>
          <c:showSerName val="0"/>
          <c:showPercent val="0"/>
          <c:showBubbleSize val="0"/>
        </c:dLbls>
        <c:gapWidth val="60"/>
        <c:axId val="681388767"/>
        <c:axId val="681388287"/>
      </c:barChart>
      <c:catAx>
        <c:axId val="68138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88287"/>
        <c:crosses val="autoZero"/>
        <c:auto val="1"/>
        <c:lblAlgn val="ctr"/>
        <c:lblOffset val="100"/>
        <c:noMultiLvlLbl val="0"/>
      </c:catAx>
      <c:valAx>
        <c:axId val="681388287"/>
        <c:scaling>
          <c:orientation val="minMax"/>
        </c:scaling>
        <c:delete val="1"/>
        <c:axPos val="b"/>
        <c:numFmt formatCode="General" sourceLinked="1"/>
        <c:majorTickMark val="none"/>
        <c:minorTickMark val="none"/>
        <c:tickLblPos val="nextTo"/>
        <c:crossAx val="681388767"/>
        <c:crosses val="autoZero"/>
        <c:crossBetween val="between"/>
      </c:valAx>
      <c:spPr>
        <a:noFill/>
        <a:ln>
          <a:noFill/>
        </a:ln>
        <a:effectLst/>
      </c:spPr>
    </c:plotArea>
    <c:legend>
      <c:legendPos val="t"/>
      <c:layout>
        <c:manualLayout>
          <c:xMode val="edge"/>
          <c:yMode val="edge"/>
          <c:x val="0.19862641961419972"/>
          <c:y val="4.6327708347012775E-2"/>
          <c:w val="0.60274664090921848"/>
          <c:h val="6.85273138927191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7426645654822"/>
                  <c:h val="6.0766718171843231E-2"/>
                </c:manualLayout>
              </c15:layout>
            </c:ext>
          </c:extLst>
        </c:dLbl>
      </c:pivotFmt>
    </c:pivotFmts>
    <c:plotArea>
      <c:layout>
        <c:manualLayout>
          <c:layoutTarget val="inner"/>
          <c:xMode val="edge"/>
          <c:yMode val="edge"/>
          <c:x val="0.35632616233409453"/>
          <c:y val="4.3585774429863049E-2"/>
          <c:w val="0.57405330289857925"/>
          <c:h val="0.92567394547024417"/>
        </c:manualLayout>
      </c:layout>
      <c:barChart>
        <c:barDir val="bar"/>
        <c:grouping val="clustered"/>
        <c:varyColors val="0"/>
        <c:ser>
          <c:idx val="0"/>
          <c:order val="0"/>
          <c:tx>
            <c:strRef>
              <c:f>'Sheets Design'!$B$33</c:f>
              <c:strCache>
                <c:ptCount val="1"/>
                <c:pt idx="0">
                  <c:v>Total</c:v>
                </c:pt>
              </c:strCache>
            </c:strRef>
          </c:tx>
          <c:spPr>
            <a:solidFill>
              <a:srgbClr val="D0AC2C"/>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7426645654822"/>
                      <c:h val="6.0766718171843231E-2"/>
                    </c:manualLayout>
                  </c15:layout>
                </c:ext>
                <c:ext xmlns:c16="http://schemas.microsoft.com/office/drawing/2014/chart" uri="{C3380CC4-5D6E-409C-BE32-E72D297353CC}">
                  <c16:uniqueId val="{00000001-886D-4AFE-8008-40529556C33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86D-4AFE-8008-40529556C333}"/>
            </c:ext>
          </c:extLst>
        </c:ser>
        <c:dLbls>
          <c:showLegendKey val="0"/>
          <c:showVal val="0"/>
          <c:showCatName val="0"/>
          <c:showSerName val="0"/>
          <c:showPercent val="0"/>
          <c:showBubbleSize val="0"/>
        </c:dLbls>
        <c:gapWidth val="50"/>
        <c:axId val="1339302639"/>
        <c:axId val="1339307439"/>
      </c:barChart>
      <c:catAx>
        <c:axId val="133930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39307439"/>
        <c:crosses val="autoZero"/>
        <c:auto val="1"/>
        <c:lblAlgn val="ctr"/>
        <c:lblOffset val="100"/>
        <c:noMultiLvlLbl val="0"/>
      </c:catAx>
      <c:valAx>
        <c:axId val="1339307439"/>
        <c:scaling>
          <c:orientation val="minMax"/>
        </c:scaling>
        <c:delete val="1"/>
        <c:axPos val="b"/>
        <c:numFmt formatCode="0.00,&quot;K&quot;" sourceLinked="1"/>
        <c:majorTickMark val="none"/>
        <c:minorTickMark val="none"/>
        <c:tickLblPos val="nextTo"/>
        <c:crossAx val="133930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a:solidFill>
              <a:srgbClr val="002060"/>
            </a:solidFill>
          </a:ln>
          <a:effectLst>
            <a:innerShdw dist="12700" dir="16200000">
              <a:schemeClr val="lt1">
                <a:alpha val="75000"/>
              </a:schemeClr>
            </a:innerShdw>
          </a:effectLst>
        </c:spPr>
        <c:marker>
          <c:symbol val="circle"/>
          <c:size val="5"/>
          <c:spPr>
            <a:solidFill>
              <a:srgbClr val="FFD200">
                <a:alpha val="75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2.1354170519945468E-3"/>
              <c:y val="-0.23489584938865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2.1354170519945468E-3"/>
              <c:y val="-0.291840297725304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0"/>
              <c:y val="-0.29895835376738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3.9148860368924337E-17"/>
              <c:y val="-0.30607640980946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2.1354170519945468E-3"/>
              <c:y val="-0.28472224168322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7.8297720737848674E-17"/>
              <c:y val="-0.291840297725304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2.1354170519946249E-3"/>
              <c:y val="-0.405729194398594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1.0677085259972734E-2"/>
              <c:y val="-0.298958353767385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rgbClr val="002060"/>
            </a:solidFill>
          </a:ln>
          <a:effectLst>
            <a:innerShdw dist="12700" dir="16200000">
              <a:schemeClr val="lt1">
                <a:alpha val="75000"/>
              </a:schemeClr>
            </a:innerShdw>
          </a:effectLst>
        </c:spPr>
        <c:dLbl>
          <c:idx val="0"/>
          <c:layout>
            <c:manualLayout>
              <c:x val="-1.5659544147569735E-16"/>
              <c:y val="-0.27760418564114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55364335777687E-2"/>
          <c:y val="7.0351054677319485E-3"/>
          <c:w val="0.91310180928674378"/>
          <c:h val="0.86342860505718266"/>
        </c:manualLayout>
      </c:layout>
      <c:areaChart>
        <c:grouping val="standard"/>
        <c:varyColors val="0"/>
        <c:ser>
          <c:idx val="0"/>
          <c:order val="0"/>
          <c:tx>
            <c:strRef>
              <c:f>'Sheets Design'!$B$54</c:f>
              <c:strCache>
                <c:ptCount val="1"/>
                <c:pt idx="0">
                  <c:v>Total</c:v>
                </c:pt>
              </c:strCache>
            </c:strRef>
          </c:tx>
          <c:spPr>
            <a:solidFill>
              <a:srgbClr val="FFD200">
                <a:alpha val="75000"/>
              </a:srgbClr>
            </a:solidFill>
            <a:ln w="25400">
              <a:solidFill>
                <a:srgbClr val="002060"/>
              </a:solidFill>
            </a:ln>
            <a:effectLst>
              <a:innerShdw dist="12700" dir="16200000">
                <a:schemeClr val="lt1">
                  <a:alpha val="75000"/>
                </a:schemeClr>
              </a:innerShdw>
            </a:effectLst>
          </c:spPr>
          <c:dLbls>
            <c:dLbl>
              <c:idx val="0"/>
              <c:layout>
                <c:manualLayout>
                  <c:x val="-2.1354170519945468E-3"/>
                  <c:y val="-0.23489584938865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27-46BD-8512-D474FA798DDB}"/>
                </c:ext>
              </c:extLst>
            </c:dLbl>
            <c:dLbl>
              <c:idx val="1"/>
              <c:layout>
                <c:manualLayout>
                  <c:x val="-2.1354170519945468E-3"/>
                  <c:y val="-0.291840297725304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27-46BD-8512-D474FA798DDB}"/>
                </c:ext>
              </c:extLst>
            </c:dLbl>
            <c:dLbl>
              <c:idx val="2"/>
              <c:layout>
                <c:manualLayout>
                  <c:x val="0"/>
                  <c:y val="-0.29895835376738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27-46BD-8512-D474FA798DDB}"/>
                </c:ext>
              </c:extLst>
            </c:dLbl>
            <c:dLbl>
              <c:idx val="3"/>
              <c:layout>
                <c:manualLayout>
                  <c:x val="-3.9148860368924337E-17"/>
                  <c:y val="-0.30607640980946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27-46BD-8512-D474FA798DDB}"/>
                </c:ext>
              </c:extLst>
            </c:dLbl>
            <c:dLbl>
              <c:idx val="4"/>
              <c:layout>
                <c:manualLayout>
                  <c:x val="2.1354170519945468E-3"/>
                  <c:y val="-0.28472224168322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27-46BD-8512-D474FA798DDB}"/>
                </c:ext>
              </c:extLst>
            </c:dLbl>
            <c:dLbl>
              <c:idx val="5"/>
              <c:layout>
                <c:manualLayout>
                  <c:x val="-7.8297720737848674E-17"/>
                  <c:y val="-0.29184029772530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27-46BD-8512-D474FA798DDB}"/>
                </c:ext>
              </c:extLst>
            </c:dLbl>
            <c:dLbl>
              <c:idx val="6"/>
              <c:layout>
                <c:manualLayout>
                  <c:x val="2.1354170519946249E-3"/>
                  <c:y val="-0.405729194398594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27-46BD-8512-D474FA798DDB}"/>
                </c:ext>
              </c:extLst>
            </c:dLbl>
            <c:dLbl>
              <c:idx val="7"/>
              <c:layout>
                <c:manualLayout>
                  <c:x val="1.0677085259972734E-2"/>
                  <c:y val="-0.29895835376738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27-46BD-8512-D474FA798DDB}"/>
                </c:ext>
              </c:extLst>
            </c:dLbl>
            <c:dLbl>
              <c:idx val="8"/>
              <c:layout>
                <c:manualLayout>
                  <c:x val="-1.5659544147569735E-16"/>
                  <c:y val="-0.27760418564114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827-46BD-8512-D474FA798D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Design'!$A$55:$A$64</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Design'!$B$55:$B$64</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827-46BD-8512-D474FA798DDB}"/>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365945759"/>
        <c:axId val="365949119"/>
      </c:areaChart>
      <c:catAx>
        <c:axId val="365945759"/>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365949119"/>
        <c:crosses val="autoZero"/>
        <c:auto val="1"/>
        <c:lblAlgn val="ctr"/>
        <c:lblOffset val="100"/>
        <c:noMultiLvlLbl val="0"/>
      </c:catAx>
      <c:valAx>
        <c:axId val="365949119"/>
        <c:scaling>
          <c:orientation val="minMax"/>
        </c:scaling>
        <c:delete val="1"/>
        <c:axPos val="l"/>
        <c:numFmt formatCode="0.00,&quot;K&quot;" sourceLinked="1"/>
        <c:majorTickMark val="out"/>
        <c:minorTickMark val="none"/>
        <c:tickLblPos val="nextTo"/>
        <c:crossAx val="365945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7013565048747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322170407799553"/>
              <c:y val="9.42528752693071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6369224233148106E-2"/>
              <c:y val="-0.12252873785009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761483326419262"/>
          <c:y val="0"/>
          <c:w val="0.52906290391813848"/>
          <c:h val="0.9815034298398666"/>
        </c:manualLayout>
      </c:layout>
      <c:doughnutChart>
        <c:varyColors val="1"/>
        <c:ser>
          <c:idx val="0"/>
          <c:order val="0"/>
          <c:tx>
            <c:strRef>
              <c:f>'Sheets Design'!$B$70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FBD-4644-9C22-2CBFF7FE2A0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FBD-4644-9C22-2CBFF7FE2A08}"/>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FBD-4644-9C22-2CBFF7FE2A08}"/>
              </c:ext>
            </c:extLst>
          </c:dPt>
          <c:dLbls>
            <c:dLbl>
              <c:idx val="0"/>
              <c:layout>
                <c:manualLayout>
                  <c:x val="0.127013565048747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BD-4644-9C22-2CBFF7FE2A08}"/>
                </c:ext>
              </c:extLst>
            </c:dLbl>
            <c:dLbl>
              <c:idx val="1"/>
              <c:layout>
                <c:manualLayout>
                  <c:x val="0.20322170407799553"/>
                  <c:y val="9.4252875269307188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BD-4644-9C22-2CBFF7FE2A08}"/>
                </c:ext>
              </c:extLst>
            </c:dLbl>
            <c:dLbl>
              <c:idx val="2"/>
              <c:layout>
                <c:manualLayout>
                  <c:x val="-8.6369224233148106E-2"/>
                  <c:y val="-0.1225287378500993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BD-4644-9C22-2CBFF7FE2A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Design'!$A$71:$A$74</c:f>
              <c:strCache>
                <c:ptCount val="3"/>
                <c:pt idx="0">
                  <c:v>High</c:v>
                </c:pt>
                <c:pt idx="1">
                  <c:v>Medium</c:v>
                </c:pt>
                <c:pt idx="2">
                  <c:v>Small</c:v>
                </c:pt>
              </c:strCache>
            </c:strRef>
          </c:cat>
          <c:val>
            <c:numRef>
              <c:f>'Sheets Design'!$B$71:$B$74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FBD-4644-9C22-2CBFF7FE2A08}"/>
            </c:ext>
          </c:extLst>
        </c:ser>
        <c:dLbls>
          <c:showLegendKey val="0"/>
          <c:showVal val="1"/>
          <c:showCatName val="0"/>
          <c:showSerName val="0"/>
          <c:showPercent val="0"/>
          <c:showBubbleSize val="0"/>
          <c:showLeaderLines val="0"/>
        </c:dLbls>
        <c:firstSliceAng val="0"/>
        <c:holeSize val="7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85981964468923"/>
          <c:y val="2.1160575433931635E-2"/>
          <c:w val="0.49853470952612378"/>
          <c:h val="0.87603175082787577"/>
        </c:manualLayout>
      </c:layout>
      <c:barChart>
        <c:barDir val="bar"/>
        <c:grouping val="clustered"/>
        <c:varyColors val="0"/>
        <c:ser>
          <c:idx val="0"/>
          <c:order val="0"/>
          <c:tx>
            <c:strRef>
              <c:f>'Sheets Design'!$B$95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Design'!$A$96:$A$100</c:f>
              <c:strCache>
                <c:ptCount val="4"/>
                <c:pt idx="0">
                  <c:v>Grocery Store</c:v>
                </c:pt>
                <c:pt idx="1">
                  <c:v>Supermarket Type3</c:v>
                </c:pt>
                <c:pt idx="2">
                  <c:v>Supermarket Type2</c:v>
                </c:pt>
                <c:pt idx="3">
                  <c:v>Supermarket Type1</c:v>
                </c:pt>
              </c:strCache>
            </c:strRef>
          </c:cat>
          <c:val>
            <c:numRef>
              <c:f>'Sheets Design'!$B$96:$B$100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274-4F6F-AD2C-219CC5464CF3}"/>
            </c:ext>
          </c:extLst>
        </c:ser>
        <c:dLbls>
          <c:showLegendKey val="0"/>
          <c:showVal val="0"/>
          <c:showCatName val="0"/>
          <c:showSerName val="0"/>
          <c:showPercent val="0"/>
          <c:showBubbleSize val="0"/>
        </c:dLbls>
        <c:gapWidth val="60"/>
        <c:axId val="908534367"/>
        <c:axId val="908532927"/>
      </c:barChart>
      <c:catAx>
        <c:axId val="90853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32927"/>
        <c:crosses val="autoZero"/>
        <c:auto val="1"/>
        <c:lblAlgn val="ctr"/>
        <c:lblOffset val="100"/>
        <c:noMultiLvlLbl val="0"/>
      </c:catAx>
      <c:valAx>
        <c:axId val="908532927"/>
        <c:scaling>
          <c:orientation val="minMax"/>
        </c:scaling>
        <c:delete val="1"/>
        <c:axPos val="b"/>
        <c:numFmt formatCode="0.00,&quot;K&quot;" sourceLinked="1"/>
        <c:majorTickMark val="none"/>
        <c:minorTickMark val="none"/>
        <c:tickLblPos val="nextTo"/>
        <c:crossAx val="90853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Design'!$A$107:$A$111</c:f>
              <c:strCache>
                <c:ptCount val="4"/>
                <c:pt idx="0">
                  <c:v>Grocery Store</c:v>
                </c:pt>
                <c:pt idx="1">
                  <c:v>Supermarket Type3</c:v>
                </c:pt>
                <c:pt idx="2">
                  <c:v>Supermarket Type2</c:v>
                </c:pt>
                <c:pt idx="3">
                  <c:v>Supermarket Type1</c:v>
                </c:pt>
              </c:strCache>
            </c:strRef>
          </c:cat>
          <c:val>
            <c:numRef>
              <c:f>'Sheets Design'!$B$107:$B$111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D07-48FC-8A89-0B001F2F77C0}"/>
            </c:ext>
          </c:extLst>
        </c:ser>
        <c:dLbls>
          <c:dLblPos val="outEnd"/>
          <c:showLegendKey val="0"/>
          <c:showVal val="1"/>
          <c:showCatName val="0"/>
          <c:showSerName val="0"/>
          <c:showPercent val="0"/>
          <c:showBubbleSize val="0"/>
        </c:dLbls>
        <c:gapWidth val="60"/>
        <c:axId val="454879327"/>
        <c:axId val="454870687"/>
      </c:barChart>
      <c:catAx>
        <c:axId val="454879327"/>
        <c:scaling>
          <c:orientation val="minMax"/>
        </c:scaling>
        <c:delete val="1"/>
        <c:axPos val="l"/>
        <c:numFmt formatCode="General" sourceLinked="1"/>
        <c:majorTickMark val="none"/>
        <c:minorTickMark val="none"/>
        <c:tickLblPos val="nextTo"/>
        <c:crossAx val="454870687"/>
        <c:crosses val="autoZero"/>
        <c:auto val="1"/>
        <c:lblAlgn val="ctr"/>
        <c:lblOffset val="100"/>
        <c:noMultiLvlLbl val="0"/>
      </c:catAx>
      <c:valAx>
        <c:axId val="454870687"/>
        <c:scaling>
          <c:orientation val="minMax"/>
        </c:scaling>
        <c:delete val="1"/>
        <c:axPos val="b"/>
        <c:numFmt formatCode="\$0" sourceLinked="1"/>
        <c:majorTickMark val="none"/>
        <c:minorTickMark val="none"/>
        <c:tickLblPos val="nextTo"/>
        <c:crossAx val="4548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[BLINKITexc.xlsx]Sheets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04530446129243E-2"/>
          <c:y val="4.6762549330163154E-2"/>
          <c:w val="0.91538733394450411"/>
          <c:h val="0.95323745066983689"/>
        </c:manualLayout>
      </c:layout>
      <c:barChart>
        <c:barDir val="bar"/>
        <c:grouping val="clustered"/>
        <c:varyColors val="0"/>
        <c:ser>
          <c:idx val="0"/>
          <c:order val="0"/>
          <c:tx>
            <c:strRef>
              <c:f>'Sheets Design'!$B$114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Design'!$A$115:$A$119</c:f>
              <c:strCache>
                <c:ptCount val="4"/>
                <c:pt idx="0">
                  <c:v>Grocery Store</c:v>
                </c:pt>
                <c:pt idx="1">
                  <c:v>Supermarket Type3</c:v>
                </c:pt>
                <c:pt idx="2">
                  <c:v>Supermarket Type2</c:v>
                </c:pt>
                <c:pt idx="3">
                  <c:v>Supermarket Type1</c:v>
                </c:pt>
              </c:strCache>
            </c:strRef>
          </c:cat>
          <c:val>
            <c:numRef>
              <c:f>'Sheets Design'!$B$115:$B$119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A65-4DFF-817F-82319AEA1162}"/>
            </c:ext>
          </c:extLst>
        </c:ser>
        <c:dLbls>
          <c:showLegendKey val="0"/>
          <c:showVal val="0"/>
          <c:showCatName val="0"/>
          <c:showSerName val="0"/>
          <c:showPercent val="0"/>
          <c:showBubbleSize val="0"/>
        </c:dLbls>
        <c:gapWidth val="60"/>
        <c:axId val="1466230847"/>
        <c:axId val="1466228927"/>
      </c:barChart>
      <c:catAx>
        <c:axId val="1466230847"/>
        <c:scaling>
          <c:orientation val="minMax"/>
        </c:scaling>
        <c:delete val="1"/>
        <c:axPos val="l"/>
        <c:numFmt formatCode="General" sourceLinked="1"/>
        <c:majorTickMark val="none"/>
        <c:minorTickMark val="none"/>
        <c:tickLblPos val="nextTo"/>
        <c:crossAx val="1466228927"/>
        <c:crosses val="autoZero"/>
        <c:auto val="1"/>
        <c:lblAlgn val="ctr"/>
        <c:lblOffset val="100"/>
        <c:noMultiLvlLbl val="0"/>
      </c:catAx>
      <c:valAx>
        <c:axId val="1466228927"/>
        <c:scaling>
          <c:orientation val="minMax"/>
        </c:scaling>
        <c:delete val="1"/>
        <c:axPos val="b"/>
        <c:numFmt formatCode="0" sourceLinked="1"/>
        <c:majorTickMark val="none"/>
        <c:minorTickMark val="none"/>
        <c:tickLblPos val="nextTo"/>
        <c:crossAx val="146623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4F3B-44D1-8C27-145D7B2029E2}">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00000000-4F3B-44D1-8C27-145D7B2029E2}">
          <cx:tx>
            <cx:txData>
              <cx:f>_xlchart.v2.7</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251460</xdr:colOff>
      <xdr:row>0</xdr:row>
      <xdr:rowOff>137161</xdr:rowOff>
    </xdr:from>
    <xdr:to>
      <xdr:col>7</xdr:col>
      <xdr:colOff>129540</xdr:colOff>
      <xdr:row>8</xdr:row>
      <xdr:rowOff>60961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B45C0E1A-612F-67E3-0590-FE372C65180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541520" y="137161"/>
              <a:ext cx="188976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701040</xdr:colOff>
      <xdr:row>11</xdr:row>
      <xdr:rowOff>15240</xdr:rowOff>
    </xdr:from>
    <xdr:to>
      <xdr:col>3</xdr:col>
      <xdr:colOff>967740</xdr:colOff>
      <xdr:row>17</xdr:row>
      <xdr:rowOff>182880</xdr:rowOff>
    </xdr:to>
    <xdr:graphicFrame macro="">
      <xdr:nvGraphicFramePr>
        <xdr:cNvPr id="3" name="Chart 2">
          <a:extLst>
            <a:ext uri="{FF2B5EF4-FFF2-40B4-BE49-F238E27FC236}">
              <a16:creationId xmlns:a16="http://schemas.microsoft.com/office/drawing/2014/main" id="{EC692B67-8537-AFB7-3527-FACCD8D00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21</xdr:row>
      <xdr:rowOff>83820</xdr:rowOff>
    </xdr:from>
    <xdr:to>
      <xdr:col>6</xdr:col>
      <xdr:colOff>251460</xdr:colOff>
      <xdr:row>28</xdr:row>
      <xdr:rowOff>129540</xdr:rowOff>
    </xdr:to>
    <xdr:graphicFrame macro="">
      <xdr:nvGraphicFramePr>
        <xdr:cNvPr id="4" name="Chart 3">
          <a:extLst>
            <a:ext uri="{FF2B5EF4-FFF2-40B4-BE49-F238E27FC236}">
              <a16:creationId xmlns:a16="http://schemas.microsoft.com/office/drawing/2014/main" id="{BE64459D-ADA4-0C7E-B0A1-18592013B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186690</xdr:colOff>
      <xdr:row>33</xdr:row>
      <xdr:rowOff>91440</xdr:rowOff>
    </xdr:from>
    <xdr:to>
      <xdr:col>7</xdr:col>
      <xdr:colOff>91440</xdr:colOff>
      <xdr:row>47</xdr:row>
      <xdr:rowOff>0</xdr:rowOff>
    </xdr:to>
    <xdr:graphicFrame macro="">
      <xdr:nvGraphicFramePr>
        <xdr:cNvPr id="5" name="Chart 4">
          <a:extLst>
            <a:ext uri="{FF2B5EF4-FFF2-40B4-BE49-F238E27FC236}">
              <a16:creationId xmlns:a16="http://schemas.microsoft.com/office/drawing/2014/main" id="{4DD0013A-B785-F670-F2B2-AF88B18E2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365760</xdr:colOff>
      <xdr:row>53</xdr:row>
      <xdr:rowOff>53340</xdr:rowOff>
    </xdr:from>
    <xdr:to>
      <xdr:col>6</xdr:col>
      <xdr:colOff>274320</xdr:colOff>
      <xdr:row>65</xdr:row>
      <xdr:rowOff>137160</xdr:rowOff>
    </xdr:to>
    <xdr:graphicFrame macro="">
      <xdr:nvGraphicFramePr>
        <xdr:cNvPr id="6" name="Chart 5">
          <a:extLst>
            <a:ext uri="{FF2B5EF4-FFF2-40B4-BE49-F238E27FC236}">
              <a16:creationId xmlns:a16="http://schemas.microsoft.com/office/drawing/2014/main" id="{F268F905-E020-7585-4D3E-E2301D457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121920</xdr:colOff>
      <xdr:row>69</xdr:row>
      <xdr:rowOff>0</xdr:rowOff>
    </xdr:from>
    <xdr:to>
      <xdr:col>5</xdr:col>
      <xdr:colOff>594360</xdr:colOff>
      <xdr:row>78</xdr:row>
      <xdr:rowOff>175260</xdr:rowOff>
    </xdr:to>
    <xdr:graphicFrame macro="">
      <xdr:nvGraphicFramePr>
        <xdr:cNvPr id="7" name="Chart 6">
          <a:extLst>
            <a:ext uri="{FF2B5EF4-FFF2-40B4-BE49-F238E27FC236}">
              <a16:creationId xmlns:a16="http://schemas.microsoft.com/office/drawing/2014/main" id="{A79901A0-D564-5F29-3D62-DB1DB63BF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335280</xdr:colOff>
      <xdr:row>82</xdr:row>
      <xdr:rowOff>15240</xdr:rowOff>
    </xdr:from>
    <xdr:to>
      <xdr:col>10</xdr:col>
      <xdr:colOff>552450</xdr:colOff>
      <xdr:row>90</xdr:row>
      <xdr:rowOff>80010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FE85B01-9738-89B2-ECF2-02B7E78C77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25340" y="17305020"/>
              <a:ext cx="3569970" cy="1672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243840</xdr:colOff>
      <xdr:row>95</xdr:row>
      <xdr:rowOff>22860</xdr:rowOff>
    </xdr:from>
    <xdr:to>
      <xdr:col>5</xdr:col>
      <xdr:colOff>160020</xdr:colOff>
      <xdr:row>103</xdr:row>
      <xdr:rowOff>38100</xdr:rowOff>
    </xdr:to>
    <xdr:graphicFrame macro="">
      <xdr:nvGraphicFramePr>
        <xdr:cNvPr id="9" name="Chart 8">
          <a:extLst>
            <a:ext uri="{FF2B5EF4-FFF2-40B4-BE49-F238E27FC236}">
              <a16:creationId xmlns:a16="http://schemas.microsoft.com/office/drawing/2014/main" id="{16C8DFF1-A642-6B3A-F5AF-D723AF8A5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285750</xdr:colOff>
      <xdr:row>105</xdr:row>
      <xdr:rowOff>22860</xdr:rowOff>
    </xdr:from>
    <xdr:to>
      <xdr:col>5</xdr:col>
      <xdr:colOff>167640</xdr:colOff>
      <xdr:row>111</xdr:row>
      <xdr:rowOff>152400</xdr:rowOff>
    </xdr:to>
    <xdr:graphicFrame macro="">
      <xdr:nvGraphicFramePr>
        <xdr:cNvPr id="10" name="Chart 9">
          <a:extLst>
            <a:ext uri="{FF2B5EF4-FFF2-40B4-BE49-F238E27FC236}">
              <a16:creationId xmlns:a16="http://schemas.microsoft.com/office/drawing/2014/main" id="{BB428257-7C9F-7CE4-DA78-59B156648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236220</xdr:colOff>
      <xdr:row>113</xdr:row>
      <xdr:rowOff>15240</xdr:rowOff>
    </xdr:from>
    <xdr:to>
      <xdr:col>5</xdr:col>
      <xdr:colOff>45720</xdr:colOff>
      <xdr:row>120</xdr:row>
      <xdr:rowOff>45720</xdr:rowOff>
    </xdr:to>
    <xdr:graphicFrame macro="">
      <xdr:nvGraphicFramePr>
        <xdr:cNvPr id="11" name="Chart 10">
          <a:extLst>
            <a:ext uri="{FF2B5EF4-FFF2-40B4-BE49-F238E27FC236}">
              <a16:creationId xmlns:a16="http://schemas.microsoft.com/office/drawing/2014/main" id="{93B27B0C-EC51-3603-CFE3-7E05C072F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472440</xdr:colOff>
      <xdr:row>9</xdr:row>
      <xdr:rowOff>175261</xdr:rowOff>
    </xdr:from>
    <xdr:to>
      <xdr:col>7</xdr:col>
      <xdr:colOff>312420</xdr:colOff>
      <xdr:row>16</xdr:row>
      <xdr:rowOff>175261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81E63175-CF9A-2A9C-F568-F3E7F84414E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762500" y="2125981"/>
              <a:ext cx="185166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7</xdr:row>
      <xdr:rowOff>190500</xdr:rowOff>
    </xdr:from>
    <xdr:to>
      <xdr:col>10</xdr:col>
      <xdr:colOff>419100</xdr:colOff>
      <xdr:row>20</xdr:row>
      <xdr:rowOff>120015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3365A031-8BC2-C16A-13D0-1B0D462F06B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903720" y="17373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631902</xdr:colOff>
      <xdr:row>0</xdr:row>
      <xdr:rowOff>9292</xdr:rowOff>
    </xdr:from>
    <xdr:to>
      <xdr:col>22</xdr:col>
      <xdr:colOff>390292</xdr:colOff>
      <xdr:row>32</xdr:row>
      <xdr:rowOff>74341</xdr:rowOff>
    </xdr:to>
    <xdr:sp macro="" textlink="">
      <xdr:nvSpPr>
        <xdr:cNvPr id="2" name="Rectangle 1">
          <a:extLst>
            <a:ext uri="{FF2B5EF4-FFF2-40B4-BE49-F238E27FC236}">
              <a16:creationId xmlns:a16="http://schemas.microsoft.com/office/drawing/2014/main" id="{22273B23-74A8-C309-C6E6-588861128ECE}"/>
            </a:ext>
          </a:extLst>
        </xdr:cNvPr>
        <xdr:cNvSpPr/>
      </xdr:nvSpPr>
      <xdr:spPr>
        <a:xfrm>
          <a:off x="631902" y="9292"/>
          <a:ext cx="14478000" cy="630973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292718</xdr:colOff>
      <xdr:row>0</xdr:row>
      <xdr:rowOff>83635</xdr:rowOff>
    </xdr:from>
    <xdr:to>
      <xdr:col>5</xdr:col>
      <xdr:colOff>157973</xdr:colOff>
      <xdr:row>31</xdr:row>
      <xdr:rowOff>176563</xdr:rowOff>
    </xdr:to>
    <xdr:sp macro="" textlink="">
      <xdr:nvSpPr>
        <xdr:cNvPr id="3" name="Rectangle: Top Corners Rounded 2">
          <a:extLst>
            <a:ext uri="{FF2B5EF4-FFF2-40B4-BE49-F238E27FC236}">
              <a16:creationId xmlns:a16="http://schemas.microsoft.com/office/drawing/2014/main" id="{8C1DCBE4-D169-CA21-ECCF-5DADCC8ECE73}"/>
            </a:ext>
          </a:extLst>
        </xdr:cNvPr>
        <xdr:cNvSpPr/>
      </xdr:nvSpPr>
      <xdr:spPr>
        <a:xfrm rot="5400000">
          <a:off x="-504131" y="2218630"/>
          <a:ext cx="6142465" cy="187247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315954</xdr:colOff>
      <xdr:row>0</xdr:row>
      <xdr:rowOff>120804</xdr:rowOff>
    </xdr:from>
    <xdr:to>
      <xdr:col>5</xdr:col>
      <xdr:colOff>130100</xdr:colOff>
      <xdr:row>3</xdr:row>
      <xdr:rowOff>130099</xdr:rowOff>
    </xdr:to>
    <xdr:sp macro="" textlink="">
      <xdr:nvSpPr>
        <xdr:cNvPr id="4" name="TextBox 3">
          <a:extLst>
            <a:ext uri="{FF2B5EF4-FFF2-40B4-BE49-F238E27FC236}">
              <a16:creationId xmlns:a16="http://schemas.microsoft.com/office/drawing/2014/main" id="{AC24586D-DE3E-86AE-A694-A99A76A43B23}"/>
            </a:ext>
          </a:extLst>
        </xdr:cNvPr>
        <xdr:cNvSpPr txBox="1"/>
      </xdr:nvSpPr>
      <xdr:spPr>
        <a:xfrm>
          <a:off x="1654100" y="120804"/>
          <a:ext cx="1821366" cy="5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421890</xdr:colOff>
      <xdr:row>3</xdr:row>
      <xdr:rowOff>40887</xdr:rowOff>
    </xdr:from>
    <xdr:to>
      <xdr:col>5</xdr:col>
      <xdr:colOff>83633</xdr:colOff>
      <xdr:row>4</xdr:row>
      <xdr:rowOff>157976</xdr:rowOff>
    </xdr:to>
    <xdr:sp macro="" textlink="">
      <xdr:nvSpPr>
        <xdr:cNvPr id="6" name="TextBox 5">
          <a:extLst>
            <a:ext uri="{FF2B5EF4-FFF2-40B4-BE49-F238E27FC236}">
              <a16:creationId xmlns:a16="http://schemas.microsoft.com/office/drawing/2014/main" id="{4FB5770A-FA97-475D-8D9E-2A37A4886378}"/>
            </a:ext>
          </a:extLst>
        </xdr:cNvPr>
        <xdr:cNvSpPr txBox="1"/>
      </xdr:nvSpPr>
      <xdr:spPr>
        <a:xfrm>
          <a:off x="1760036" y="626326"/>
          <a:ext cx="1668963" cy="312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rial Narrow" panose="020B0606020202030204" pitchFamily="34" charset="0"/>
              <a:ea typeface="Segoe UI Black" panose="020B0A02040204020203" pitchFamily="34" charset="0"/>
            </a:rPr>
            <a:t>India's</a:t>
          </a:r>
          <a:r>
            <a:rPr lang="en-IN" sz="1200" b="1" baseline="0">
              <a:solidFill>
                <a:schemeClr val="dk1"/>
              </a:solidFill>
              <a:latin typeface="Arial Narrow" panose="020B0606020202030204" pitchFamily="34" charset="0"/>
              <a:ea typeface="Segoe UI Black" panose="020B0A02040204020203" pitchFamily="34" charset="0"/>
            </a:rPr>
            <a:t> Last Minute App</a:t>
          </a:r>
          <a:endParaRPr lang="en-IN" sz="1200" b="1">
            <a:solidFill>
              <a:schemeClr val="accent6">
                <a:lumMod val="75000"/>
              </a:schemeClr>
            </a:solidFill>
            <a:latin typeface="Arial Narrow" panose="020B0606020202030204" pitchFamily="34" charset="0"/>
            <a:ea typeface="Segoe UI Black" panose="020B0A02040204020203" pitchFamily="34" charset="0"/>
          </a:endParaRPr>
        </a:p>
      </xdr:txBody>
    </xdr:sp>
    <xdr:clientData/>
  </xdr:twoCellAnchor>
  <xdr:twoCellAnchor>
    <xdr:from>
      <xdr:col>5</xdr:col>
      <xdr:colOff>321528</xdr:colOff>
      <xdr:row>1</xdr:row>
      <xdr:rowOff>6505</xdr:rowOff>
    </xdr:from>
    <xdr:to>
      <xdr:col>11</xdr:col>
      <xdr:colOff>410737</xdr:colOff>
      <xdr:row>10</xdr:row>
      <xdr:rowOff>126381</xdr:rowOff>
    </xdr:to>
    <xdr:grpSp>
      <xdr:nvGrpSpPr>
        <xdr:cNvPr id="11" name="Group 10">
          <a:extLst>
            <a:ext uri="{FF2B5EF4-FFF2-40B4-BE49-F238E27FC236}">
              <a16:creationId xmlns:a16="http://schemas.microsoft.com/office/drawing/2014/main" id="{2763EB7B-2B4C-4FC1-8FE6-97BC248B5E93}"/>
            </a:ext>
          </a:extLst>
        </xdr:cNvPr>
        <xdr:cNvGrpSpPr/>
      </xdr:nvGrpSpPr>
      <xdr:grpSpPr>
        <a:xfrm>
          <a:off x="3666894" y="201651"/>
          <a:ext cx="4103648" cy="1876193"/>
          <a:chOff x="3620430" y="183066"/>
          <a:chExt cx="4103648" cy="1876193"/>
        </a:xfrm>
      </xdr:grpSpPr>
      <xdr:sp macro="" textlink="">
        <xdr:nvSpPr>
          <xdr:cNvPr id="7" name="Rectangle: Rounded Corners 6">
            <a:extLst>
              <a:ext uri="{FF2B5EF4-FFF2-40B4-BE49-F238E27FC236}">
                <a16:creationId xmlns:a16="http://schemas.microsoft.com/office/drawing/2014/main" id="{179707EE-4E31-F3A4-4549-BDBD81703C3E}"/>
              </a:ext>
            </a:extLst>
          </xdr:cNvPr>
          <xdr:cNvSpPr/>
        </xdr:nvSpPr>
        <xdr:spPr>
          <a:xfrm>
            <a:off x="3620430" y="183066"/>
            <a:ext cx="1979341" cy="854927"/>
          </a:xfrm>
          <a:prstGeom prst="roundRect">
            <a:avLst/>
          </a:prstGeom>
          <a:gradFill>
            <a:gsLst>
              <a:gs pos="0">
                <a:srgbClr val="FFD200">
                  <a:alpha val="60000"/>
                </a:srgbClr>
              </a:gs>
              <a:gs pos="49000">
                <a:schemeClr val="accent6">
                  <a:lumMod val="75000"/>
                  <a:alpha val="45000"/>
                </a:schemeClr>
              </a:gs>
              <a:gs pos="83000">
                <a:schemeClr val="accent6">
                  <a:lumMod val="75000"/>
                  <a:alpha val="60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D47D903-3029-418B-9619-6C158D474C86}"/>
              </a:ext>
            </a:extLst>
          </xdr:cNvPr>
          <xdr:cNvSpPr/>
        </xdr:nvSpPr>
        <xdr:spPr>
          <a:xfrm>
            <a:off x="5744737" y="183066"/>
            <a:ext cx="1979341" cy="85492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45F82BA-996D-45EB-BFF7-1C09BFE0E79B}"/>
              </a:ext>
            </a:extLst>
          </xdr:cNvPr>
          <xdr:cNvSpPr/>
        </xdr:nvSpPr>
        <xdr:spPr>
          <a:xfrm>
            <a:off x="5757747" y="1209907"/>
            <a:ext cx="1953321" cy="84377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3C02B2C-3BBD-480A-AF1A-F6F4850BE930}"/>
              </a:ext>
            </a:extLst>
          </xdr:cNvPr>
          <xdr:cNvSpPr/>
        </xdr:nvSpPr>
        <xdr:spPr>
          <a:xfrm>
            <a:off x="3620430" y="1204332"/>
            <a:ext cx="1979341" cy="85492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353122</xdr:colOff>
      <xdr:row>1</xdr:row>
      <xdr:rowOff>43675</xdr:rowOff>
    </xdr:from>
    <xdr:to>
      <xdr:col>7</xdr:col>
      <xdr:colOff>130098</xdr:colOff>
      <xdr:row>3</xdr:row>
      <xdr:rowOff>108724</xdr:rowOff>
    </xdr:to>
    <xdr:sp macro="" textlink="'Sheets Design'!A8">
      <xdr:nvSpPr>
        <xdr:cNvPr id="12" name="TextBox 11">
          <a:extLst>
            <a:ext uri="{FF2B5EF4-FFF2-40B4-BE49-F238E27FC236}">
              <a16:creationId xmlns:a16="http://schemas.microsoft.com/office/drawing/2014/main" id="{6D85B999-4A79-3624-0956-AF0886C37BB1}"/>
            </a:ext>
          </a:extLst>
        </xdr:cNvPr>
        <xdr:cNvSpPr txBox="1"/>
      </xdr:nvSpPr>
      <xdr:spPr>
        <a:xfrm>
          <a:off x="3698488" y="238821"/>
          <a:ext cx="1115122" cy="455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78D4C1-5F2F-45ED-9264-084570A950A9}"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t>$1.20M</a:t>
          </a:fld>
          <a:endParaRPr lang="en-IN" sz="20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5</xdr:col>
      <xdr:colOff>371707</xdr:colOff>
      <xdr:row>3</xdr:row>
      <xdr:rowOff>37171</xdr:rowOff>
    </xdr:from>
    <xdr:to>
      <xdr:col>7</xdr:col>
      <xdr:colOff>83634</xdr:colOff>
      <xdr:row>4</xdr:row>
      <xdr:rowOff>74342</xdr:rowOff>
    </xdr:to>
    <xdr:sp macro="" textlink="">
      <xdr:nvSpPr>
        <xdr:cNvPr id="13" name="TextBox 12">
          <a:extLst>
            <a:ext uri="{FF2B5EF4-FFF2-40B4-BE49-F238E27FC236}">
              <a16:creationId xmlns:a16="http://schemas.microsoft.com/office/drawing/2014/main" id="{E7AC91B7-7E74-4173-ABF3-389DAE7DC99F}"/>
            </a:ext>
          </a:extLst>
        </xdr:cNvPr>
        <xdr:cNvSpPr txBox="1"/>
      </xdr:nvSpPr>
      <xdr:spPr>
        <a:xfrm>
          <a:off x="3717073" y="622610"/>
          <a:ext cx="1050073"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459060</xdr:colOff>
      <xdr:row>1</xdr:row>
      <xdr:rowOff>43675</xdr:rowOff>
    </xdr:from>
    <xdr:to>
      <xdr:col>10</xdr:col>
      <xdr:colOff>236035</xdr:colOff>
      <xdr:row>3</xdr:row>
      <xdr:rowOff>108724</xdr:rowOff>
    </xdr:to>
    <xdr:sp macro="" textlink="'Sheets Design'!B8">
      <xdr:nvSpPr>
        <xdr:cNvPr id="14" name="TextBox 13">
          <a:extLst>
            <a:ext uri="{FF2B5EF4-FFF2-40B4-BE49-F238E27FC236}">
              <a16:creationId xmlns:a16="http://schemas.microsoft.com/office/drawing/2014/main" id="{B1FCA5AD-0DAC-400F-8DD3-9E0A317DDBFC}"/>
            </a:ext>
          </a:extLst>
        </xdr:cNvPr>
        <xdr:cNvSpPr txBox="1"/>
      </xdr:nvSpPr>
      <xdr:spPr>
        <a:xfrm>
          <a:off x="5811645" y="238821"/>
          <a:ext cx="1115122" cy="455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BD5B5E-5472-4DF0-8BA1-0A92B8CEA414}"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t>$141</a:t>
          </a:fld>
          <a:endParaRPr lang="en-IN"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8</xdr:col>
      <xdr:colOff>449766</xdr:colOff>
      <xdr:row>3</xdr:row>
      <xdr:rowOff>40888</xdr:rowOff>
    </xdr:from>
    <xdr:to>
      <xdr:col>10</xdr:col>
      <xdr:colOff>161692</xdr:colOff>
      <xdr:row>4</xdr:row>
      <xdr:rowOff>78059</xdr:rowOff>
    </xdr:to>
    <xdr:sp macro="" textlink="">
      <xdr:nvSpPr>
        <xdr:cNvPr id="15" name="TextBox 14">
          <a:extLst>
            <a:ext uri="{FF2B5EF4-FFF2-40B4-BE49-F238E27FC236}">
              <a16:creationId xmlns:a16="http://schemas.microsoft.com/office/drawing/2014/main" id="{18E2F445-AFB0-453E-B099-87007FE2AD53}"/>
            </a:ext>
          </a:extLst>
        </xdr:cNvPr>
        <xdr:cNvSpPr txBox="1"/>
      </xdr:nvSpPr>
      <xdr:spPr>
        <a:xfrm>
          <a:off x="5802351" y="626327"/>
          <a:ext cx="1050073"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453483</xdr:colOff>
      <xdr:row>6</xdr:row>
      <xdr:rowOff>47391</xdr:rowOff>
    </xdr:from>
    <xdr:to>
      <xdr:col>7</xdr:col>
      <xdr:colOff>230459</xdr:colOff>
      <xdr:row>8</xdr:row>
      <xdr:rowOff>112440</xdr:rowOff>
    </xdr:to>
    <xdr:sp macro="" textlink="'Sheets Design'!C8">
      <xdr:nvSpPr>
        <xdr:cNvPr id="16" name="TextBox 15">
          <a:extLst>
            <a:ext uri="{FF2B5EF4-FFF2-40B4-BE49-F238E27FC236}">
              <a16:creationId xmlns:a16="http://schemas.microsoft.com/office/drawing/2014/main" id="{1C939E81-1A48-4D90-972C-20E0EA42225B}"/>
            </a:ext>
          </a:extLst>
        </xdr:cNvPr>
        <xdr:cNvSpPr txBox="1"/>
      </xdr:nvSpPr>
      <xdr:spPr>
        <a:xfrm>
          <a:off x="3798849" y="1218269"/>
          <a:ext cx="1115122" cy="455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CD9877-D282-45E1-9677-C16CA8BD52AE}"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t>8523</a:t>
          </a:fld>
          <a:endParaRPr lang="en-IN"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8</xdr:col>
      <xdr:colOff>503664</xdr:colOff>
      <xdr:row>6</xdr:row>
      <xdr:rowOff>78986</xdr:rowOff>
    </xdr:from>
    <xdr:to>
      <xdr:col>10</xdr:col>
      <xdr:colOff>280639</xdr:colOff>
      <xdr:row>8</xdr:row>
      <xdr:rowOff>144035</xdr:rowOff>
    </xdr:to>
    <xdr:sp macro="" textlink="'Sheets Design'!D8">
      <xdr:nvSpPr>
        <xdr:cNvPr id="17" name="TextBox 16">
          <a:extLst>
            <a:ext uri="{FF2B5EF4-FFF2-40B4-BE49-F238E27FC236}">
              <a16:creationId xmlns:a16="http://schemas.microsoft.com/office/drawing/2014/main" id="{B0F5B539-4A52-4DE5-AA2E-C5F943C89652}"/>
            </a:ext>
          </a:extLst>
        </xdr:cNvPr>
        <xdr:cNvSpPr txBox="1"/>
      </xdr:nvSpPr>
      <xdr:spPr>
        <a:xfrm>
          <a:off x="5856249" y="1249864"/>
          <a:ext cx="1115122" cy="455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F0D3BA-6EA2-4D06-8505-A512DFAF2691}"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t>4.0</a:t>
          </a:fld>
          <a:endParaRPr lang="en-IN"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5</xdr:col>
      <xdr:colOff>379141</xdr:colOff>
      <xdr:row>8</xdr:row>
      <xdr:rowOff>53897</xdr:rowOff>
    </xdr:from>
    <xdr:to>
      <xdr:col>7</xdr:col>
      <xdr:colOff>91068</xdr:colOff>
      <xdr:row>9</xdr:row>
      <xdr:rowOff>91068</xdr:rowOff>
    </xdr:to>
    <xdr:sp macro="" textlink="">
      <xdr:nvSpPr>
        <xdr:cNvPr id="18" name="TextBox 17">
          <a:extLst>
            <a:ext uri="{FF2B5EF4-FFF2-40B4-BE49-F238E27FC236}">
              <a16:creationId xmlns:a16="http://schemas.microsoft.com/office/drawing/2014/main" id="{7D62773B-B91A-4152-98AD-6E09C62D11B4}"/>
            </a:ext>
          </a:extLst>
        </xdr:cNvPr>
        <xdr:cNvSpPr txBox="1"/>
      </xdr:nvSpPr>
      <xdr:spPr>
        <a:xfrm>
          <a:off x="3724507" y="1615068"/>
          <a:ext cx="1050073"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466492</xdr:colOff>
      <xdr:row>8</xdr:row>
      <xdr:rowOff>85492</xdr:rowOff>
    </xdr:from>
    <xdr:to>
      <xdr:col>10</xdr:col>
      <xdr:colOff>178418</xdr:colOff>
      <xdr:row>9</xdr:row>
      <xdr:rowOff>122663</xdr:rowOff>
    </xdr:to>
    <xdr:sp macro="" textlink="">
      <xdr:nvSpPr>
        <xdr:cNvPr id="19" name="TextBox 18">
          <a:extLst>
            <a:ext uri="{FF2B5EF4-FFF2-40B4-BE49-F238E27FC236}">
              <a16:creationId xmlns:a16="http://schemas.microsoft.com/office/drawing/2014/main" id="{8F2CE88F-A7DF-472D-B147-DB78CE44945E}"/>
            </a:ext>
          </a:extLst>
        </xdr:cNvPr>
        <xdr:cNvSpPr txBox="1"/>
      </xdr:nvSpPr>
      <xdr:spPr>
        <a:xfrm>
          <a:off x="5819077" y="1646663"/>
          <a:ext cx="1050073"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11</xdr:col>
      <xdr:colOff>11430</xdr:colOff>
      <xdr:row>1</xdr:row>
      <xdr:rowOff>74342</xdr:rowOff>
    </xdr:from>
    <xdr:to>
      <xdr:col>11</xdr:col>
      <xdr:colOff>274925</xdr:colOff>
      <xdr:row>2</xdr:row>
      <xdr:rowOff>139390</xdr:rowOff>
    </xdr:to>
    <xdr:pic>
      <xdr:nvPicPr>
        <xdr:cNvPr id="20" name="Picture 19">
          <a:extLst>
            <a:ext uri="{FF2B5EF4-FFF2-40B4-BE49-F238E27FC236}">
              <a16:creationId xmlns:a16="http://schemas.microsoft.com/office/drawing/2014/main" id="{85F84EA0-F9C1-8B5D-33A2-F3E68E4AB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71235" y="269488"/>
          <a:ext cx="263495" cy="26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596146</xdr:colOff>
      <xdr:row>6</xdr:row>
      <xdr:rowOff>97583</xdr:rowOff>
    </xdr:from>
    <xdr:to>
      <xdr:col>8</xdr:col>
      <xdr:colOff>185855</xdr:colOff>
      <xdr:row>7</xdr:row>
      <xdr:rowOff>157977</xdr:rowOff>
    </xdr:to>
    <xdr:pic>
      <xdr:nvPicPr>
        <xdr:cNvPr id="21" name="Picture 20">
          <a:extLst>
            <a:ext uri="{FF2B5EF4-FFF2-40B4-BE49-F238E27FC236}">
              <a16:creationId xmlns:a16="http://schemas.microsoft.com/office/drawing/2014/main" id="{29F208CE-C13D-719A-6AB4-DDB20E5176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9658" y="1268461"/>
          <a:ext cx="258782" cy="255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29627</xdr:colOff>
      <xdr:row>6</xdr:row>
      <xdr:rowOff>79444</xdr:rowOff>
    </xdr:from>
    <xdr:to>
      <xdr:col>11</xdr:col>
      <xdr:colOff>297366</xdr:colOff>
      <xdr:row>7</xdr:row>
      <xdr:rowOff>148683</xdr:rowOff>
    </xdr:to>
    <xdr:pic>
      <xdr:nvPicPr>
        <xdr:cNvPr id="22" name="Picture 21">
          <a:extLst>
            <a:ext uri="{FF2B5EF4-FFF2-40B4-BE49-F238E27FC236}">
              <a16:creationId xmlns:a16="http://schemas.microsoft.com/office/drawing/2014/main" id="{DB40A2A0-1F44-C33E-46BE-33023BD6C5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89432" y="1250322"/>
          <a:ext cx="267739" cy="264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568032</xdr:colOff>
      <xdr:row>1</xdr:row>
      <xdr:rowOff>102220</xdr:rowOff>
    </xdr:from>
    <xdr:to>
      <xdr:col>8</xdr:col>
      <xdr:colOff>162455</xdr:colOff>
      <xdr:row>2</xdr:row>
      <xdr:rowOff>167268</xdr:rowOff>
    </xdr:to>
    <xdr:pic>
      <xdr:nvPicPr>
        <xdr:cNvPr id="23" name="Picture 22">
          <a:extLst>
            <a:ext uri="{FF2B5EF4-FFF2-40B4-BE49-F238E27FC236}">
              <a16:creationId xmlns:a16="http://schemas.microsoft.com/office/drawing/2014/main" id="{8CA8AA8C-263F-7C74-A8C4-2F2524004B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51544" y="297366"/>
          <a:ext cx="263496" cy="26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367991</xdr:colOff>
      <xdr:row>11</xdr:row>
      <xdr:rowOff>167268</xdr:rowOff>
    </xdr:from>
    <xdr:to>
      <xdr:col>11</xdr:col>
      <xdr:colOff>446049</xdr:colOff>
      <xdr:row>32</xdr:row>
      <xdr:rowOff>46463</xdr:rowOff>
    </xdr:to>
    <xdr:sp macro="" textlink="">
      <xdr:nvSpPr>
        <xdr:cNvPr id="24" name="Rectangle: Rounded Corners 23">
          <a:extLst>
            <a:ext uri="{FF2B5EF4-FFF2-40B4-BE49-F238E27FC236}">
              <a16:creationId xmlns:a16="http://schemas.microsoft.com/office/drawing/2014/main" id="{F6F506CA-F2C1-484C-A2C6-7FB8C9E530E6}"/>
            </a:ext>
          </a:extLst>
        </xdr:cNvPr>
        <xdr:cNvSpPr/>
      </xdr:nvSpPr>
      <xdr:spPr>
        <a:xfrm>
          <a:off x="3713357" y="2313878"/>
          <a:ext cx="4092497" cy="3977268"/>
        </a:xfrm>
        <a:prstGeom prst="roundRect">
          <a:avLst>
            <a:gd name="adj" fmla="val 64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399585</xdr:colOff>
      <xdr:row>13</xdr:row>
      <xdr:rowOff>92926</xdr:rowOff>
    </xdr:from>
    <xdr:to>
      <xdr:col>8</xdr:col>
      <xdr:colOff>185854</xdr:colOff>
      <xdr:row>21</xdr:row>
      <xdr:rowOff>83634</xdr:rowOff>
    </xdr:to>
    <xdr:graphicFrame macro="">
      <xdr:nvGraphicFramePr>
        <xdr:cNvPr id="25" name="Chart 24">
          <a:extLst>
            <a:ext uri="{FF2B5EF4-FFF2-40B4-BE49-F238E27FC236}">
              <a16:creationId xmlns:a16="http://schemas.microsoft.com/office/drawing/2014/main" id="{72C55F47-9985-414E-A02F-EE625EFD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20443</xdr:colOff>
      <xdr:row>12</xdr:row>
      <xdr:rowOff>76201</xdr:rowOff>
    </xdr:from>
    <xdr:to>
      <xdr:col>7</xdr:col>
      <xdr:colOff>566853</xdr:colOff>
      <xdr:row>13</xdr:row>
      <xdr:rowOff>74343</xdr:rowOff>
    </xdr:to>
    <xdr:sp macro="" textlink="">
      <xdr:nvSpPr>
        <xdr:cNvPr id="26" name="TextBox 25">
          <a:extLst>
            <a:ext uri="{FF2B5EF4-FFF2-40B4-BE49-F238E27FC236}">
              <a16:creationId xmlns:a16="http://schemas.microsoft.com/office/drawing/2014/main" id="{48DAB6AC-40BA-40F9-A7E0-69F721C0DC0D}"/>
            </a:ext>
          </a:extLst>
        </xdr:cNvPr>
        <xdr:cNvSpPr txBox="1"/>
      </xdr:nvSpPr>
      <xdr:spPr>
        <a:xfrm>
          <a:off x="4034882" y="2417957"/>
          <a:ext cx="1215483" cy="19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100" b="0"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100" b="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407021</xdr:colOff>
      <xdr:row>11</xdr:row>
      <xdr:rowOff>167268</xdr:rowOff>
    </xdr:from>
    <xdr:to>
      <xdr:col>8</xdr:col>
      <xdr:colOff>407021</xdr:colOff>
      <xdr:row>32</xdr:row>
      <xdr:rowOff>46463</xdr:rowOff>
    </xdr:to>
    <xdr:cxnSp macro="">
      <xdr:nvCxnSpPr>
        <xdr:cNvPr id="28" name="Straight Connector 27">
          <a:extLst>
            <a:ext uri="{FF2B5EF4-FFF2-40B4-BE49-F238E27FC236}">
              <a16:creationId xmlns:a16="http://schemas.microsoft.com/office/drawing/2014/main" id="{85385280-249B-4773-F925-84F2E6EA9FDC}"/>
            </a:ext>
          </a:extLst>
        </xdr:cNvPr>
        <xdr:cNvCxnSpPr>
          <a:stCxn id="24" idx="0"/>
          <a:endCxn id="24" idx="2"/>
        </xdr:cNvCxnSpPr>
      </xdr:nvCxnSpPr>
      <xdr:spPr>
        <a:xfrm>
          <a:off x="5759606" y="2313878"/>
          <a:ext cx="0" cy="397726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367991</xdr:colOff>
      <xdr:row>22</xdr:row>
      <xdr:rowOff>9292</xdr:rowOff>
    </xdr:from>
    <xdr:to>
      <xdr:col>8</xdr:col>
      <xdr:colOff>390293</xdr:colOff>
      <xdr:row>22</xdr:row>
      <xdr:rowOff>27878</xdr:rowOff>
    </xdr:to>
    <xdr:cxnSp macro="">
      <xdr:nvCxnSpPr>
        <xdr:cNvPr id="29" name="Straight Connector 28">
          <a:extLst>
            <a:ext uri="{FF2B5EF4-FFF2-40B4-BE49-F238E27FC236}">
              <a16:creationId xmlns:a16="http://schemas.microsoft.com/office/drawing/2014/main" id="{EA95452F-E5D8-45E5-A6D1-0056E77E34E3}"/>
            </a:ext>
          </a:extLst>
        </xdr:cNvPr>
        <xdr:cNvCxnSpPr>
          <a:endCxn id="24" idx="1"/>
        </xdr:cNvCxnSpPr>
      </xdr:nvCxnSpPr>
      <xdr:spPr>
        <a:xfrm flipH="1" flipV="1">
          <a:off x="3713357" y="4302512"/>
          <a:ext cx="2029521" cy="185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362415</xdr:colOff>
      <xdr:row>23</xdr:row>
      <xdr:rowOff>111513</xdr:rowOff>
    </xdr:from>
    <xdr:to>
      <xdr:col>8</xdr:col>
      <xdr:colOff>278782</xdr:colOff>
      <xdr:row>32</xdr:row>
      <xdr:rowOff>0</xdr:rowOff>
    </xdr:to>
    <xdr:graphicFrame macro="">
      <xdr:nvGraphicFramePr>
        <xdr:cNvPr id="37" name="Chart 36">
          <a:extLst>
            <a:ext uri="{FF2B5EF4-FFF2-40B4-BE49-F238E27FC236}">
              <a16:creationId xmlns:a16="http://schemas.microsoft.com/office/drawing/2014/main" id="{C04F9B42-B34C-4449-9E42-5F8697D05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42745</xdr:colOff>
      <xdr:row>22</xdr:row>
      <xdr:rowOff>126381</xdr:rowOff>
    </xdr:from>
    <xdr:to>
      <xdr:col>7</xdr:col>
      <xdr:colOff>589155</xdr:colOff>
      <xdr:row>23</xdr:row>
      <xdr:rowOff>124523</xdr:rowOff>
    </xdr:to>
    <xdr:sp macro="" textlink="">
      <xdr:nvSpPr>
        <xdr:cNvPr id="39" name="TextBox 38">
          <a:extLst>
            <a:ext uri="{FF2B5EF4-FFF2-40B4-BE49-F238E27FC236}">
              <a16:creationId xmlns:a16="http://schemas.microsoft.com/office/drawing/2014/main" id="{DF4BE24F-A277-4093-803C-8B25366F4ACC}"/>
            </a:ext>
          </a:extLst>
        </xdr:cNvPr>
        <xdr:cNvSpPr txBox="1"/>
      </xdr:nvSpPr>
      <xdr:spPr>
        <a:xfrm>
          <a:off x="4057184" y="4419601"/>
          <a:ext cx="1215483" cy="19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100" b="0"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100" b="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117087</xdr:colOff>
      <xdr:row>12</xdr:row>
      <xdr:rowOff>33455</xdr:rowOff>
    </xdr:from>
    <xdr:to>
      <xdr:col>10</xdr:col>
      <xdr:colOff>663497</xdr:colOff>
      <xdr:row>13</xdr:row>
      <xdr:rowOff>31597</xdr:rowOff>
    </xdr:to>
    <xdr:sp macro="" textlink="">
      <xdr:nvSpPr>
        <xdr:cNvPr id="40" name="TextBox 39">
          <a:extLst>
            <a:ext uri="{FF2B5EF4-FFF2-40B4-BE49-F238E27FC236}">
              <a16:creationId xmlns:a16="http://schemas.microsoft.com/office/drawing/2014/main" id="{0B99ADFB-0013-4EE8-9FFE-D80150822050}"/>
            </a:ext>
          </a:extLst>
        </xdr:cNvPr>
        <xdr:cNvSpPr txBox="1"/>
      </xdr:nvSpPr>
      <xdr:spPr>
        <a:xfrm>
          <a:off x="6138746" y="2375211"/>
          <a:ext cx="1215483" cy="19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100" b="0"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100" b="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446050</xdr:colOff>
      <xdr:row>13</xdr:row>
      <xdr:rowOff>111513</xdr:rowOff>
    </xdr:from>
    <xdr:to>
      <xdr:col>11</xdr:col>
      <xdr:colOff>371708</xdr:colOff>
      <xdr:row>31</xdr:row>
      <xdr:rowOff>148683</xdr:rowOff>
    </xdr:to>
    <xdr:graphicFrame macro="">
      <xdr:nvGraphicFramePr>
        <xdr:cNvPr id="41" name="Chart 40">
          <a:extLst>
            <a:ext uri="{FF2B5EF4-FFF2-40B4-BE49-F238E27FC236}">
              <a16:creationId xmlns:a16="http://schemas.microsoft.com/office/drawing/2014/main" id="{7C62330C-EC85-4F1D-94CC-4669903C7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604023</xdr:colOff>
      <xdr:row>0</xdr:row>
      <xdr:rowOff>102606</xdr:rowOff>
    </xdr:from>
    <xdr:to>
      <xdr:col>21</xdr:col>
      <xdr:colOff>139390</xdr:colOff>
      <xdr:row>32</xdr:row>
      <xdr:rowOff>74342</xdr:rowOff>
    </xdr:to>
    <xdr:sp macro="" textlink="">
      <xdr:nvSpPr>
        <xdr:cNvPr id="43" name="Rectangle: Rounded Corners 42">
          <a:extLst>
            <a:ext uri="{FF2B5EF4-FFF2-40B4-BE49-F238E27FC236}">
              <a16:creationId xmlns:a16="http://schemas.microsoft.com/office/drawing/2014/main" id="{170F3641-A3F4-48D0-8529-6648F55F6CB7}"/>
            </a:ext>
          </a:extLst>
        </xdr:cNvPr>
        <xdr:cNvSpPr/>
      </xdr:nvSpPr>
      <xdr:spPr>
        <a:xfrm>
          <a:off x="7963828" y="102606"/>
          <a:ext cx="6226099" cy="6216419"/>
        </a:xfrm>
        <a:prstGeom prst="roundRect">
          <a:avLst>
            <a:gd name="adj" fmla="val 64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18586</xdr:colOff>
      <xdr:row>2</xdr:row>
      <xdr:rowOff>176561</xdr:rowOff>
    </xdr:from>
    <xdr:to>
      <xdr:col>20</xdr:col>
      <xdr:colOff>613317</xdr:colOff>
      <xdr:row>12</xdr:row>
      <xdr:rowOff>9293</xdr:rowOff>
    </xdr:to>
    <xdr:graphicFrame macro="">
      <xdr:nvGraphicFramePr>
        <xdr:cNvPr id="44" name="Chart 43">
          <a:extLst>
            <a:ext uri="{FF2B5EF4-FFF2-40B4-BE49-F238E27FC236}">
              <a16:creationId xmlns:a16="http://schemas.microsoft.com/office/drawing/2014/main" id="{CBE8E2F2-1FC2-45B2-BBDB-AC3E7D24C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392151</xdr:colOff>
      <xdr:row>1</xdr:row>
      <xdr:rowOff>9294</xdr:rowOff>
    </xdr:from>
    <xdr:to>
      <xdr:col>15</xdr:col>
      <xdr:colOff>315951</xdr:colOff>
      <xdr:row>2</xdr:row>
      <xdr:rowOff>66907</xdr:rowOff>
    </xdr:to>
    <xdr:sp macro="" textlink="">
      <xdr:nvSpPr>
        <xdr:cNvPr id="45" name="TextBox 44">
          <a:extLst>
            <a:ext uri="{FF2B5EF4-FFF2-40B4-BE49-F238E27FC236}">
              <a16:creationId xmlns:a16="http://schemas.microsoft.com/office/drawing/2014/main" id="{99C28C4F-09A9-4F6C-BFDB-6481A07D9A18}"/>
            </a:ext>
          </a:extLst>
        </xdr:cNvPr>
        <xdr:cNvSpPr txBox="1"/>
      </xdr:nvSpPr>
      <xdr:spPr>
        <a:xfrm>
          <a:off x="8421029" y="204440"/>
          <a:ext cx="1931020" cy="252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631904</xdr:colOff>
      <xdr:row>12</xdr:row>
      <xdr:rowOff>130098</xdr:rowOff>
    </xdr:from>
    <xdr:to>
      <xdr:col>21</xdr:col>
      <xdr:colOff>74341</xdr:colOff>
      <xdr:row>12</xdr:row>
      <xdr:rowOff>170985</xdr:rowOff>
    </xdr:to>
    <xdr:cxnSp macro="">
      <xdr:nvCxnSpPr>
        <xdr:cNvPr id="46" name="Straight Connector 45">
          <a:extLst>
            <a:ext uri="{FF2B5EF4-FFF2-40B4-BE49-F238E27FC236}">
              <a16:creationId xmlns:a16="http://schemas.microsoft.com/office/drawing/2014/main" id="{924CC017-7CE1-4523-A4D3-78402BB74B96}"/>
            </a:ext>
          </a:extLst>
        </xdr:cNvPr>
        <xdr:cNvCxnSpPr/>
      </xdr:nvCxnSpPr>
      <xdr:spPr>
        <a:xfrm flipH="1">
          <a:off x="7991709" y="2471854"/>
          <a:ext cx="6133169" cy="4088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414453</xdr:colOff>
      <xdr:row>13</xdr:row>
      <xdr:rowOff>50182</xdr:rowOff>
    </xdr:from>
    <xdr:to>
      <xdr:col>14</xdr:col>
      <xdr:colOff>464634</xdr:colOff>
      <xdr:row>14</xdr:row>
      <xdr:rowOff>92927</xdr:rowOff>
    </xdr:to>
    <xdr:sp macro="" textlink="">
      <xdr:nvSpPr>
        <xdr:cNvPr id="48" name="TextBox 47">
          <a:extLst>
            <a:ext uri="{FF2B5EF4-FFF2-40B4-BE49-F238E27FC236}">
              <a16:creationId xmlns:a16="http://schemas.microsoft.com/office/drawing/2014/main" id="{82E36431-A047-4CD3-8AE2-2C22C5395F4F}"/>
            </a:ext>
          </a:extLst>
        </xdr:cNvPr>
        <xdr:cNvSpPr txBox="1"/>
      </xdr:nvSpPr>
      <xdr:spPr>
        <a:xfrm>
          <a:off x="8443331" y="2587084"/>
          <a:ext cx="1388327" cy="23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46462</xdr:colOff>
      <xdr:row>14</xdr:row>
      <xdr:rowOff>139389</xdr:rowOff>
    </xdr:from>
    <xdr:to>
      <xdr:col>15</xdr:col>
      <xdr:colOff>538975</xdr:colOff>
      <xdr:row>21</xdr:row>
      <xdr:rowOff>120804</xdr:rowOff>
    </xdr:to>
    <xdr:graphicFrame macro="">
      <xdr:nvGraphicFramePr>
        <xdr:cNvPr id="49" name="Chart 48">
          <a:extLst>
            <a:ext uri="{FF2B5EF4-FFF2-40B4-BE49-F238E27FC236}">
              <a16:creationId xmlns:a16="http://schemas.microsoft.com/office/drawing/2014/main" id="{1159DEFD-1E89-4A72-B58A-94CF441A2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74341</xdr:colOff>
      <xdr:row>13</xdr:row>
      <xdr:rowOff>0</xdr:rowOff>
    </xdr:from>
    <xdr:to>
      <xdr:col>16</xdr:col>
      <xdr:colOff>83634</xdr:colOff>
      <xdr:row>21</xdr:row>
      <xdr:rowOff>157976</xdr:rowOff>
    </xdr:to>
    <xdr:cxnSp macro="">
      <xdr:nvCxnSpPr>
        <xdr:cNvPr id="50" name="Straight Connector 49">
          <a:extLst>
            <a:ext uri="{FF2B5EF4-FFF2-40B4-BE49-F238E27FC236}">
              <a16:creationId xmlns:a16="http://schemas.microsoft.com/office/drawing/2014/main" id="{C29A1DC3-14F4-4746-BE1A-9F27B63194E8}"/>
            </a:ext>
          </a:extLst>
        </xdr:cNvPr>
        <xdr:cNvCxnSpPr/>
      </xdr:nvCxnSpPr>
      <xdr:spPr>
        <a:xfrm>
          <a:off x="10779512" y="2536902"/>
          <a:ext cx="9293" cy="171914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604025</xdr:colOff>
      <xdr:row>22</xdr:row>
      <xdr:rowOff>37170</xdr:rowOff>
    </xdr:from>
    <xdr:to>
      <xdr:col>21</xdr:col>
      <xdr:colOff>120804</xdr:colOff>
      <xdr:row>22</xdr:row>
      <xdr:rowOff>50180</xdr:rowOff>
    </xdr:to>
    <xdr:cxnSp macro="">
      <xdr:nvCxnSpPr>
        <xdr:cNvPr id="54" name="Straight Connector 53">
          <a:extLst>
            <a:ext uri="{FF2B5EF4-FFF2-40B4-BE49-F238E27FC236}">
              <a16:creationId xmlns:a16="http://schemas.microsoft.com/office/drawing/2014/main" id="{EFD5EC33-305F-4B84-8B7A-D8BC48FDC9BB}"/>
            </a:ext>
          </a:extLst>
        </xdr:cNvPr>
        <xdr:cNvCxnSpPr/>
      </xdr:nvCxnSpPr>
      <xdr:spPr>
        <a:xfrm flipH="1">
          <a:off x="7963830" y="4330390"/>
          <a:ext cx="6207511" cy="130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139389</xdr:colOff>
      <xdr:row>14</xdr:row>
      <xdr:rowOff>37172</xdr:rowOff>
    </xdr:from>
    <xdr:to>
      <xdr:col>21</xdr:col>
      <xdr:colOff>9292</xdr:colOff>
      <xdr:row>22</xdr:row>
      <xdr:rowOff>18585</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D67A74D7-B0CD-426A-B1FB-C12159B5CF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44560" y="2769221"/>
              <a:ext cx="3215269" cy="1542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102219</xdr:colOff>
      <xdr:row>13</xdr:row>
      <xdr:rowOff>9293</xdr:rowOff>
    </xdr:from>
    <xdr:to>
      <xdr:col>20</xdr:col>
      <xdr:colOff>204439</xdr:colOff>
      <xdr:row>14</xdr:row>
      <xdr:rowOff>31595</xdr:rowOff>
    </xdr:to>
    <xdr:sp macro="" textlink="">
      <xdr:nvSpPr>
        <xdr:cNvPr id="58" name="TextBox 57">
          <a:extLst>
            <a:ext uri="{FF2B5EF4-FFF2-40B4-BE49-F238E27FC236}">
              <a16:creationId xmlns:a16="http://schemas.microsoft.com/office/drawing/2014/main" id="{0CCB00CC-8638-421C-A2F5-C72C35A39C70}"/>
            </a:ext>
          </a:extLst>
        </xdr:cNvPr>
        <xdr:cNvSpPr txBox="1"/>
      </xdr:nvSpPr>
      <xdr:spPr>
        <a:xfrm>
          <a:off x="11476463" y="2546195"/>
          <a:ext cx="2109439" cy="217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157975</xdr:colOff>
      <xdr:row>24</xdr:row>
      <xdr:rowOff>41368</xdr:rowOff>
    </xdr:from>
    <xdr:to>
      <xdr:col>16</xdr:col>
      <xdr:colOff>74342</xdr:colOff>
      <xdr:row>32</xdr:row>
      <xdr:rowOff>35684</xdr:rowOff>
    </xdr:to>
    <xdr:graphicFrame macro="">
      <xdr:nvGraphicFramePr>
        <xdr:cNvPr id="59" name="Chart 58">
          <a:extLst>
            <a:ext uri="{FF2B5EF4-FFF2-40B4-BE49-F238E27FC236}">
              <a16:creationId xmlns:a16="http://schemas.microsoft.com/office/drawing/2014/main" id="{90EED20C-1BE8-4939-A6F2-8AF1CC68C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566853</xdr:colOff>
      <xdr:row>22</xdr:row>
      <xdr:rowOff>118947</xdr:rowOff>
    </xdr:from>
    <xdr:to>
      <xdr:col>14</xdr:col>
      <xdr:colOff>617034</xdr:colOff>
      <xdr:row>23</xdr:row>
      <xdr:rowOff>161693</xdr:rowOff>
    </xdr:to>
    <xdr:sp macro="" textlink="">
      <xdr:nvSpPr>
        <xdr:cNvPr id="60" name="TextBox 59">
          <a:extLst>
            <a:ext uri="{FF2B5EF4-FFF2-40B4-BE49-F238E27FC236}">
              <a16:creationId xmlns:a16="http://schemas.microsoft.com/office/drawing/2014/main" id="{4A2BA26F-2A49-4165-9974-F95EE41BD5D2}"/>
            </a:ext>
          </a:extLst>
        </xdr:cNvPr>
        <xdr:cNvSpPr txBox="1"/>
      </xdr:nvSpPr>
      <xdr:spPr>
        <a:xfrm>
          <a:off x="8595731" y="4412167"/>
          <a:ext cx="1388327" cy="23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631902</xdr:colOff>
      <xdr:row>23</xdr:row>
      <xdr:rowOff>130097</xdr:rowOff>
    </xdr:from>
    <xdr:to>
      <xdr:col>18</xdr:col>
      <xdr:colOff>269488</xdr:colOff>
      <xdr:row>32</xdr:row>
      <xdr:rowOff>1358</xdr:rowOff>
    </xdr:to>
    <xdr:graphicFrame macro="">
      <xdr:nvGraphicFramePr>
        <xdr:cNvPr id="61" name="Chart 60">
          <a:extLst>
            <a:ext uri="{FF2B5EF4-FFF2-40B4-BE49-F238E27FC236}">
              <a16:creationId xmlns:a16="http://schemas.microsoft.com/office/drawing/2014/main" id="{D55E3784-3C73-43A8-A942-38F5D473C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505521</xdr:colOff>
      <xdr:row>31</xdr:row>
      <xdr:rowOff>65048</xdr:rowOff>
    </xdr:from>
    <xdr:to>
      <xdr:col>17</xdr:col>
      <xdr:colOff>555702</xdr:colOff>
      <xdr:row>32</xdr:row>
      <xdr:rowOff>72483</xdr:rowOff>
    </xdr:to>
    <xdr:sp macro="" textlink="">
      <xdr:nvSpPr>
        <xdr:cNvPr id="62" name="TextBox 61">
          <a:extLst>
            <a:ext uri="{FF2B5EF4-FFF2-40B4-BE49-F238E27FC236}">
              <a16:creationId xmlns:a16="http://schemas.microsoft.com/office/drawing/2014/main" id="{8C5841B6-81D2-413D-B13B-55F0CFC109EA}"/>
            </a:ext>
          </a:extLst>
        </xdr:cNvPr>
        <xdr:cNvSpPr txBox="1"/>
      </xdr:nvSpPr>
      <xdr:spPr>
        <a:xfrm>
          <a:off x="10541619" y="6114585"/>
          <a:ext cx="1388327" cy="202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18</xdr:col>
      <xdr:colOff>278781</xdr:colOff>
      <xdr:row>24</xdr:row>
      <xdr:rowOff>37171</xdr:rowOff>
    </xdr:from>
    <xdr:to>
      <xdr:col>20</xdr:col>
      <xdr:colOff>641196</xdr:colOff>
      <xdr:row>31</xdr:row>
      <xdr:rowOff>201</xdr:rowOff>
    </xdr:to>
    <xdr:graphicFrame macro="">
      <xdr:nvGraphicFramePr>
        <xdr:cNvPr id="63" name="Chart 62">
          <a:extLst>
            <a:ext uri="{FF2B5EF4-FFF2-40B4-BE49-F238E27FC236}">
              <a16:creationId xmlns:a16="http://schemas.microsoft.com/office/drawing/2014/main" id="{F2012E7C-71F2-4734-A2D5-4C1D9B889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157975</xdr:colOff>
      <xdr:row>31</xdr:row>
      <xdr:rowOff>37557</xdr:rowOff>
    </xdr:from>
    <xdr:to>
      <xdr:col>20</xdr:col>
      <xdr:colOff>208156</xdr:colOff>
      <xdr:row>32</xdr:row>
      <xdr:rowOff>44992</xdr:rowOff>
    </xdr:to>
    <xdr:sp macro="" textlink="">
      <xdr:nvSpPr>
        <xdr:cNvPr id="3072" name="TextBox 3071">
          <a:extLst>
            <a:ext uri="{FF2B5EF4-FFF2-40B4-BE49-F238E27FC236}">
              <a16:creationId xmlns:a16="http://schemas.microsoft.com/office/drawing/2014/main" id="{524BC342-638E-45AC-981F-CDD86D276EE6}"/>
            </a:ext>
          </a:extLst>
        </xdr:cNvPr>
        <xdr:cNvSpPr txBox="1"/>
      </xdr:nvSpPr>
      <xdr:spPr>
        <a:xfrm>
          <a:off x="12201292" y="6087094"/>
          <a:ext cx="1388327" cy="202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399585</xdr:colOff>
      <xdr:row>4</xdr:row>
      <xdr:rowOff>185854</xdr:rowOff>
    </xdr:from>
    <xdr:to>
      <xdr:col>4</xdr:col>
      <xdr:colOff>622609</xdr:colOff>
      <xdr:row>6</xdr:row>
      <xdr:rowOff>130098</xdr:rowOff>
    </xdr:to>
    <xdr:sp macro="" textlink="">
      <xdr:nvSpPr>
        <xdr:cNvPr id="3074" name="TextBox 3073">
          <a:extLst>
            <a:ext uri="{FF2B5EF4-FFF2-40B4-BE49-F238E27FC236}">
              <a16:creationId xmlns:a16="http://schemas.microsoft.com/office/drawing/2014/main" id="{81D3D0BD-4FF0-4305-9A2F-E86AC3EF0A54}"/>
            </a:ext>
          </a:extLst>
        </xdr:cNvPr>
        <xdr:cNvSpPr txBox="1"/>
      </xdr:nvSpPr>
      <xdr:spPr>
        <a:xfrm>
          <a:off x="1737731" y="966439"/>
          <a:ext cx="1561171" cy="334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050" b="1" baseline="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IN" sz="105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325245</xdr:colOff>
      <xdr:row>6</xdr:row>
      <xdr:rowOff>92928</xdr:rowOff>
    </xdr:from>
    <xdr:to>
      <xdr:col>5</xdr:col>
      <xdr:colOff>74342</xdr:colOff>
      <xdr:row>13</xdr:row>
      <xdr:rowOff>37171</xdr:rowOff>
    </xdr:to>
    <mc:AlternateContent xmlns:mc="http://schemas.openxmlformats.org/markup-compatibility/2006">
      <mc:Choice xmlns:a14="http://schemas.microsoft.com/office/drawing/2010/main" Requires="a14">
        <xdr:graphicFrame macro="">
          <xdr:nvGraphicFramePr>
            <xdr:cNvPr id="3075" name="Outlet Size 1">
              <a:extLst>
                <a:ext uri="{FF2B5EF4-FFF2-40B4-BE49-F238E27FC236}">
                  <a16:creationId xmlns:a16="http://schemas.microsoft.com/office/drawing/2014/main" id="{89093477-EEF4-4619-88C9-D433B1B642B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63391" y="1263806"/>
              <a:ext cx="1756317" cy="1310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362414</xdr:colOff>
      <xdr:row>13</xdr:row>
      <xdr:rowOff>2</xdr:rowOff>
    </xdr:from>
    <xdr:to>
      <xdr:col>5</xdr:col>
      <xdr:colOff>83633</xdr:colOff>
      <xdr:row>19</xdr:row>
      <xdr:rowOff>111514</xdr:rowOff>
    </xdr:to>
    <mc:AlternateContent xmlns:mc="http://schemas.openxmlformats.org/markup-compatibility/2006">
      <mc:Choice xmlns:a14="http://schemas.microsoft.com/office/drawing/2010/main" Requires="a14">
        <xdr:graphicFrame macro="">
          <xdr:nvGraphicFramePr>
            <xdr:cNvPr id="3076" name="Outlet Location Type 1">
              <a:extLst>
                <a:ext uri="{FF2B5EF4-FFF2-40B4-BE49-F238E27FC236}">
                  <a16:creationId xmlns:a16="http://schemas.microsoft.com/office/drawing/2014/main" id="{21C6510B-7D96-4111-8166-46A141A7B34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700560" y="2536904"/>
              <a:ext cx="1728439" cy="1282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362415</xdr:colOff>
      <xdr:row>19</xdr:row>
      <xdr:rowOff>157975</xdr:rowOff>
    </xdr:from>
    <xdr:to>
      <xdr:col>5</xdr:col>
      <xdr:colOff>55756</xdr:colOff>
      <xdr:row>29</xdr:row>
      <xdr:rowOff>0</xdr:rowOff>
    </xdr:to>
    <mc:AlternateContent xmlns:mc="http://schemas.openxmlformats.org/markup-compatibility/2006">
      <mc:Choice xmlns:a14="http://schemas.microsoft.com/office/drawing/2010/main" Requires="a14">
        <xdr:graphicFrame macro="">
          <xdr:nvGraphicFramePr>
            <xdr:cNvPr id="3077" name="Item Type 1">
              <a:extLst>
                <a:ext uri="{FF2B5EF4-FFF2-40B4-BE49-F238E27FC236}">
                  <a16:creationId xmlns:a16="http://schemas.microsoft.com/office/drawing/2014/main" id="{27ADA9BC-D39F-40A0-BDB0-47FC811EEF7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700561" y="3865755"/>
              <a:ext cx="1700561" cy="1793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0.21673</cdr:x>
      <cdr:y>0.89939</cdr:y>
    </cdr:from>
    <cdr:to>
      <cdr:x>0.75221</cdr:x>
      <cdr:y>1</cdr:y>
    </cdr:to>
    <cdr:sp macro="" textlink="">
      <cdr:nvSpPr>
        <cdr:cNvPr id="2" name="TextBox 59">
          <a:extLst xmlns:a="http://schemas.openxmlformats.org/drawingml/2006/main">
            <a:ext uri="{FF2B5EF4-FFF2-40B4-BE49-F238E27FC236}">
              <a16:creationId xmlns:a16="http://schemas.microsoft.com/office/drawing/2014/main" id="{4A2BA26F-2A49-4165-9974-F95EE41BD5D2}"/>
            </a:ext>
          </a:extLst>
        </cdr:cNvPr>
        <cdr:cNvSpPr txBox="1"/>
      </cdr:nvSpPr>
      <cdr:spPr>
        <a:xfrm xmlns:a="http://schemas.openxmlformats.org/drawingml/2006/main">
          <a:off x="561898" y="1398997"/>
          <a:ext cx="1388327" cy="15648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1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abdi Paul" refreshedDate="46192.753495138888" createdVersion="8" refreshedVersion="8" minRefreshableVersion="3" recordCount="8523" xr:uid="{58E7954D-FFF6-4189-92FC-BE2ED545965F}">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16963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0CED8-0D83-4770-980E-7FBEE5034368}" name="PivotTable11"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A114:B11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l No" fld="1" subtotal="count" baseField="8" baseItem="0" numFmtId="1"/>
  </dataFields>
  <formats count="16">
    <format dxfId="1435">
      <pivotArea type="all" dataOnly="0" outline="0" fieldPosition="0"/>
    </format>
    <format dxfId="1436">
      <pivotArea type="all" dataOnly="0" outline="0" fieldPosition="0"/>
    </format>
    <format dxfId="1437">
      <pivotArea type="origin" dataOnly="0" labelOnly="1" outline="0" fieldPosition="0"/>
    </format>
    <format dxfId="1438">
      <pivotArea field="0" type="button" dataOnly="0" labelOnly="1" outline="0"/>
    </format>
    <format dxfId="1439">
      <pivotArea type="topRight" dataOnly="0" labelOnly="1" outline="0" fieldPosition="0"/>
    </format>
    <format dxfId="1440">
      <pivotArea type="all" dataOnly="0" outline="0" fieldPosition="0"/>
    </format>
    <format dxfId="1441">
      <pivotArea outline="0" collapsedLevelsAreSubtotals="1" fieldPosition="0"/>
    </format>
    <format dxfId="1442">
      <pivotArea field="6" type="button" dataOnly="0" labelOnly="1" outline="0"/>
    </format>
    <format dxfId="1443">
      <pivotArea collapsedLevelsAreSubtotals="1" fieldPosition="0">
        <references count="1">
          <reference field="8" count="0"/>
        </references>
      </pivotArea>
    </format>
    <format dxfId="1434">
      <pivotArea outline="0" collapsedLevelsAreSubtotals="1" fieldPosition="0"/>
    </format>
    <format dxfId="1433">
      <pivotArea type="all" dataOnly="0" outline="0" fieldPosition="0"/>
    </format>
    <format dxfId="1432">
      <pivotArea outline="0" collapsedLevelsAreSubtotals="1" fieldPosition="0"/>
    </format>
    <format dxfId="1431">
      <pivotArea field="8" type="button" dataOnly="0" labelOnly="1" outline="0" axis="axisRow" fieldPosition="0"/>
    </format>
    <format dxfId="1430">
      <pivotArea dataOnly="0" labelOnly="1" fieldPosition="0">
        <references count="1">
          <reference field="8" count="0"/>
        </references>
      </pivotArea>
    </format>
    <format dxfId="1429">
      <pivotArea dataOnly="0" labelOnly="1" grandRow="1" outline="0" fieldPosition="0"/>
    </format>
    <format dxfId="1428">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23B6E0-2A4F-400F-A6B1-9076829FDA92}" name="PivotTable10"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A106:B11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6" baseItem="2" numFmtId="172"/>
  </dataFields>
  <formats count="15">
    <format dxfId="1445">
      <pivotArea type="all" dataOnly="0" outline="0" fieldPosition="0"/>
    </format>
    <format dxfId="1446">
      <pivotArea type="all" dataOnly="0" outline="0" fieldPosition="0"/>
    </format>
    <format dxfId="1447">
      <pivotArea type="origin" dataOnly="0" labelOnly="1" outline="0" fieldPosition="0"/>
    </format>
    <format dxfId="1448">
      <pivotArea field="0" type="button" dataOnly="0" labelOnly="1" outline="0"/>
    </format>
    <format dxfId="1449">
      <pivotArea type="topRight" dataOnly="0" labelOnly="1" outline="0" fieldPosition="0"/>
    </format>
    <format dxfId="1450">
      <pivotArea outline="0" fieldPosition="0">
        <references count="1">
          <reference field="4294967294" count="1">
            <x v="0"/>
          </reference>
        </references>
      </pivotArea>
    </format>
    <format dxfId="1451">
      <pivotArea type="all" dataOnly="0" outline="0" fieldPosition="0"/>
    </format>
    <format dxfId="1452">
      <pivotArea field="6" type="button" dataOnly="0" labelOnly="1" outline="0"/>
    </format>
    <format dxfId="1444">
      <pivotArea collapsedLevelsAreSubtotals="1" fieldPosition="0">
        <references count="1">
          <reference field="8" count="0"/>
        </references>
      </pivotArea>
    </format>
    <format dxfId="1427">
      <pivotArea type="all" dataOnly="0" outline="0" fieldPosition="0"/>
    </format>
    <format dxfId="1426">
      <pivotArea outline="0" collapsedLevelsAreSubtotals="1" fieldPosition="0"/>
    </format>
    <format dxfId="1425">
      <pivotArea field="8" type="button" dataOnly="0" labelOnly="1" outline="0" axis="axisRow" fieldPosition="0"/>
    </format>
    <format dxfId="1424">
      <pivotArea dataOnly="0" labelOnly="1" fieldPosition="0">
        <references count="1">
          <reference field="8" count="0"/>
        </references>
      </pivotArea>
    </format>
    <format dxfId="1423">
      <pivotArea dataOnly="0" labelOnly="1" grandRow="1" outline="0" fieldPosition="0"/>
    </format>
    <format dxfId="142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5CAFE0-8D78-469E-8232-E25621F4484A}" name="PivotTable8"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A95:B10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3" baseItem="15" numFmtId="172"/>
  </dataFields>
  <formats count="12">
    <format dxfId="1453">
      <pivotArea type="all" dataOnly="0" outline="0" fieldPosition="0"/>
    </format>
    <format dxfId="1454">
      <pivotArea type="all" dataOnly="0" outline="0" fieldPosition="0"/>
    </format>
    <format dxfId="1455">
      <pivotArea type="origin" dataOnly="0" labelOnly="1" outline="0" fieldPosition="0"/>
    </format>
    <format dxfId="1456">
      <pivotArea field="0" type="button" dataOnly="0" labelOnly="1" outline="0"/>
    </format>
    <format dxfId="1457">
      <pivotArea type="topRight" dataOnly="0" labelOnly="1" outline="0" fieldPosition="0"/>
    </format>
    <format dxfId="1458">
      <pivotArea outline="0" fieldPosition="0">
        <references count="1">
          <reference field="4294967294" count="1">
            <x v="0"/>
          </reference>
        </references>
      </pivotArea>
    </format>
    <format dxfId="1421">
      <pivotArea type="all" dataOnly="0" outline="0" fieldPosition="0"/>
    </format>
    <format dxfId="1420">
      <pivotArea outline="0" collapsedLevelsAreSubtotals="1" fieldPosition="0"/>
    </format>
    <format dxfId="1419">
      <pivotArea field="8" type="button" dataOnly="0" labelOnly="1" outline="0" axis="axisRow" fieldPosition="0"/>
    </format>
    <format dxfId="1418">
      <pivotArea dataOnly="0" labelOnly="1" fieldPosition="0">
        <references count="1">
          <reference field="8" count="0"/>
        </references>
      </pivotArea>
    </format>
    <format dxfId="1417">
      <pivotArea dataOnly="0" labelOnly="1" grandRow="1" outline="0" fieldPosition="0"/>
    </format>
    <format dxfId="141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59730C-95A6-4D16-B81D-0B4E7ADE009E}" name="PivotTable7"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4">
  <location ref="A83: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3" baseItem="15" numFmtId="172"/>
  </dataFields>
  <formats count="12">
    <format dxfId="1465">
      <pivotArea type="all" dataOnly="0" outline="0" fieldPosition="0"/>
    </format>
    <format dxfId="1466">
      <pivotArea type="all" dataOnly="0" outline="0" fieldPosition="0"/>
    </format>
    <format dxfId="1467">
      <pivotArea type="origin" dataOnly="0" labelOnly="1" outline="0" fieldPosition="0"/>
    </format>
    <format dxfId="1468">
      <pivotArea field="0" type="button" dataOnly="0" labelOnly="1" outline="0"/>
    </format>
    <format dxfId="1469">
      <pivotArea type="topRight" dataOnly="0" labelOnly="1" outline="0" fieldPosition="0"/>
    </format>
    <format dxfId="1470">
      <pivotArea outline="0" fieldPosition="0">
        <references count="1">
          <reference field="4294967294" count="1">
            <x v="0"/>
          </reference>
        </references>
      </pivotArea>
    </format>
    <format dxfId="1464">
      <pivotArea type="all" dataOnly="0" outline="0" fieldPosition="0"/>
    </format>
    <format dxfId="1463">
      <pivotArea outline="0" collapsedLevelsAreSubtotals="1" fieldPosition="0"/>
    </format>
    <format dxfId="1462">
      <pivotArea field="6" type="button" dataOnly="0" labelOnly="1" outline="0" axis="axisRow" fieldPosition="0"/>
    </format>
    <format dxfId="1461">
      <pivotArea dataOnly="0" labelOnly="1" fieldPosition="0">
        <references count="1">
          <reference field="6" count="0"/>
        </references>
      </pivotArea>
    </format>
    <format dxfId="1460">
      <pivotArea dataOnly="0" labelOnly="1" grandRow="1" outline="0" fieldPosition="0"/>
    </format>
    <format dxfId="145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77F387-ACFB-4E11-A8A6-B620E801E189}" name="PivotTable6"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4">
  <location ref="A70: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3" baseItem="15" numFmtId="172"/>
  </dataFields>
  <formats count="19">
    <format dxfId="1477">
      <pivotArea type="all" dataOnly="0" outline="0" fieldPosition="0"/>
    </format>
    <format dxfId="1478">
      <pivotArea outline="0" collapsedLevelsAreSubtotals="1" fieldPosition="0"/>
    </format>
    <format dxfId="1479">
      <pivotArea type="all" dataOnly="0" outline="0" fieldPosition="0"/>
    </format>
    <format dxfId="1480">
      <pivotArea type="origin" dataOnly="0" labelOnly="1" outline="0" fieldPosition="0"/>
    </format>
    <format dxfId="1481">
      <pivotArea field="0" type="button" dataOnly="0" labelOnly="1" outline="0"/>
    </format>
    <format dxfId="1482">
      <pivotArea type="topRight" dataOnly="0" labelOnly="1" outline="0" fieldPosition="0"/>
    </format>
    <format dxfId="1483">
      <pivotArea field="6" type="button" dataOnly="0" labelOnly="1" outline="0"/>
    </format>
    <format dxfId="1484">
      <pivotArea outline="0" fieldPosition="0">
        <references count="1">
          <reference field="4294967294" count="1">
            <x v="0"/>
          </reference>
        </references>
      </pivotArea>
    </format>
    <format dxfId="1485">
      <pivotArea type="all" dataOnly="0" outline="0" fieldPosition="0"/>
    </format>
    <format dxfId="1486">
      <pivotArea outline="0" collapsedLevelsAreSubtotals="1" fieldPosition="0"/>
    </format>
    <format dxfId="1487">
      <pivotArea field="4" type="button" dataOnly="0" labelOnly="1" outline="0"/>
    </format>
    <format dxfId="1488">
      <pivotArea dataOnly="0" labelOnly="1" grandRow="1" outline="0" fieldPosition="0"/>
    </format>
    <format dxfId="1489">
      <pivotArea dataOnly="0" labelOnly="1" outline="0" axis="axisValues" fieldPosition="0"/>
    </format>
    <format dxfId="1476">
      <pivotArea type="all" dataOnly="0" outline="0" fieldPosition="0"/>
    </format>
    <format dxfId="1475">
      <pivotArea outline="0" collapsedLevelsAreSubtotals="1" fieldPosition="0"/>
    </format>
    <format dxfId="1474">
      <pivotArea field="7" type="button" dataOnly="0" labelOnly="1" outline="0" axis="axisRow" fieldPosition="0"/>
    </format>
    <format dxfId="1473">
      <pivotArea dataOnly="0" labelOnly="1" fieldPosition="0">
        <references count="1">
          <reference field="7" count="0"/>
        </references>
      </pivotArea>
    </format>
    <format dxfId="1472">
      <pivotArea dataOnly="0" labelOnly="1" grandRow="1" outline="0" fieldPosition="0"/>
    </format>
    <format dxfId="147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1E447F-5F03-48E3-8AC4-177D5673A52E}" name="PivotTable5"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54:B6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3" baseItem="15" numFmtId="172"/>
  </dataFields>
  <formats count="14">
    <format dxfId="1496">
      <pivotArea type="all" dataOnly="0" outline="0" fieldPosition="0"/>
    </format>
    <format dxfId="1497">
      <pivotArea outline="0" collapsedLevelsAreSubtotals="1" fieldPosition="0"/>
    </format>
    <format dxfId="1498">
      <pivotArea type="all" dataOnly="0" outline="0" fieldPosition="0"/>
    </format>
    <format dxfId="1499">
      <pivotArea type="origin" dataOnly="0" labelOnly="1" outline="0" fieldPosition="0"/>
    </format>
    <format dxfId="1500">
      <pivotArea field="0" type="button" dataOnly="0" labelOnly="1" outline="0"/>
    </format>
    <format dxfId="1501">
      <pivotArea type="topRight" dataOnly="0" labelOnly="1" outline="0" fieldPosition="0"/>
    </format>
    <format dxfId="1502">
      <pivotArea field="6" type="button" dataOnly="0" labelOnly="1" outline="0"/>
    </format>
    <format dxfId="1503">
      <pivotArea outline="0" fieldPosition="0">
        <references count="1">
          <reference field="4294967294" count="1">
            <x v="0"/>
          </reference>
        </references>
      </pivotArea>
    </format>
    <format dxfId="1495">
      <pivotArea type="all" dataOnly="0" outline="0" fieldPosition="0"/>
    </format>
    <format dxfId="1494">
      <pivotArea outline="0" collapsedLevelsAreSubtotals="1" fieldPosition="0"/>
    </format>
    <format dxfId="1493">
      <pivotArea field="4" type="button" dataOnly="0" labelOnly="1" outline="0" axis="axisRow" fieldPosition="0"/>
    </format>
    <format dxfId="1492">
      <pivotArea dataOnly="0" labelOnly="1" fieldPosition="0">
        <references count="1">
          <reference field="4" count="0"/>
        </references>
      </pivotArea>
    </format>
    <format dxfId="1491">
      <pivotArea dataOnly="0" labelOnly="1" grandRow="1" outline="0" fieldPosition="0"/>
    </format>
    <format dxfId="149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7A006E-6328-41B0-9D10-3170C8BE89FB}" name="PivotTable4"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33: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3" baseItem="15" numFmtId="172"/>
  </dataFields>
  <formats count="14">
    <format dxfId="1511">
      <pivotArea type="all" dataOnly="0" outline="0" fieldPosition="0"/>
    </format>
    <format dxfId="1512">
      <pivotArea outline="0" collapsedLevelsAreSubtotals="1" fieldPosition="0"/>
    </format>
    <format dxfId="1513">
      <pivotArea type="all" dataOnly="0" outline="0" fieldPosition="0"/>
    </format>
    <format dxfId="1514">
      <pivotArea type="origin" dataOnly="0" labelOnly="1" outline="0" fieldPosition="0"/>
    </format>
    <format dxfId="1515">
      <pivotArea field="0" type="button" dataOnly="0" labelOnly="1" outline="0"/>
    </format>
    <format dxfId="1516">
      <pivotArea type="topRight" dataOnly="0" labelOnly="1" outline="0" fieldPosition="0"/>
    </format>
    <format dxfId="1517">
      <pivotArea field="6" type="button" dataOnly="0" labelOnly="1" outline="0"/>
    </format>
    <format dxfId="1510">
      <pivotArea outline="0" fieldPosition="0">
        <references count="1">
          <reference field="4294967294" count="1">
            <x v="0"/>
          </reference>
        </references>
      </pivotArea>
    </format>
    <format dxfId="1509">
      <pivotArea type="all" dataOnly="0" outline="0" fieldPosition="0"/>
    </format>
    <format dxfId="1508">
      <pivotArea outline="0" collapsedLevelsAreSubtotals="1" fieldPosition="0"/>
    </format>
    <format dxfId="1507">
      <pivotArea field="3" type="button" dataOnly="0" labelOnly="1" outline="0" axis="axisRow" fieldPosition="0"/>
    </format>
    <format dxfId="1506">
      <pivotArea dataOnly="0" labelOnly="1" fieldPosition="0">
        <references count="1">
          <reference field="3" count="0"/>
        </references>
      </pivotArea>
    </format>
    <format dxfId="1505">
      <pivotArea dataOnly="0" labelOnly="1" grandRow="1" outline="0" fieldPosition="0"/>
    </format>
    <format dxfId="150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EA045C-7AF4-41D3-A936-51DFA33C2012}" name="PivotTable3"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A22: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1">
    <format dxfId="1527">
      <pivotArea type="all" dataOnly="0" outline="0" fieldPosition="0"/>
    </format>
    <format dxfId="1528">
      <pivotArea outline="0" collapsedLevelsAreSubtotals="1" fieldPosition="0"/>
    </format>
    <format dxfId="1526">
      <pivotArea type="all" dataOnly="0" outline="0" fieldPosition="0"/>
    </format>
    <format dxfId="1525">
      <pivotArea outline="0" collapsedLevelsAreSubtotals="1" fieldPosition="0"/>
    </format>
    <format dxfId="1524">
      <pivotArea type="origin" dataOnly="0" labelOnly="1" outline="0" fieldPosition="0"/>
    </format>
    <format dxfId="1523">
      <pivotArea field="0" type="button" dataOnly="0" labelOnly="1" outline="0" axis="axisCol" fieldPosition="0"/>
    </format>
    <format dxfId="1522">
      <pivotArea type="topRight" dataOnly="0" labelOnly="1" outline="0" fieldPosition="0"/>
    </format>
    <format dxfId="1521">
      <pivotArea field="6" type="button" dataOnly="0" labelOnly="1" outline="0" axis="axisRow" fieldPosition="0"/>
    </format>
    <format dxfId="1520">
      <pivotArea dataOnly="0" labelOnly="1" fieldPosition="0">
        <references count="1">
          <reference field="6" count="0"/>
        </references>
      </pivotArea>
    </format>
    <format dxfId="1519">
      <pivotArea dataOnly="0" labelOnly="1" grandRow="1" outline="0" fieldPosition="0"/>
    </format>
    <format dxfId="1518">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0"/>
          </reference>
          <reference field="6" count="1" selected="0">
            <x v="2"/>
          </reference>
        </references>
      </pivotArea>
    </chartFormat>
    <chartFormat chart="8" format="7">
      <pivotArea type="data" outline="0" fieldPosition="0">
        <references count="3">
          <reference field="4294967294" count="1" selected="0">
            <x v="0"/>
          </reference>
          <reference field="0" count="1" selected="0">
            <x v="0"/>
          </reference>
          <reference field="6" count="1" selected="0">
            <x v="1"/>
          </reference>
        </references>
      </pivotArea>
    </chartFormat>
    <chartFormat chart="8" format="8">
      <pivotArea type="data" outline="0" fieldPosition="0">
        <references count="3">
          <reference field="4294967294" count="1" selected="0">
            <x v="0"/>
          </reference>
          <reference field="0" count="1" selected="0">
            <x v="0"/>
          </reference>
          <reference field="6" count="1" selected="0">
            <x v="0"/>
          </reference>
        </references>
      </pivotArea>
    </chartFormat>
    <chartFormat chart="8" format="9">
      <pivotArea type="data" outline="0" fieldPosition="0">
        <references count="3">
          <reference field="4294967294" count="1" selected="0">
            <x v="0"/>
          </reference>
          <reference field="0" count="1" selected="0">
            <x v="1"/>
          </reference>
          <reference field="6" count="1" selected="0">
            <x v="2"/>
          </reference>
        </references>
      </pivotArea>
    </chartFormat>
    <chartFormat chart="8" format="10">
      <pivotArea type="data" outline="0" fieldPosition="0">
        <references count="3">
          <reference field="4294967294" count="1" selected="0">
            <x v="0"/>
          </reference>
          <reference field="0" count="1" selected="0">
            <x v="1"/>
          </reference>
          <reference field="6" count="1" selected="0">
            <x v="0"/>
          </reference>
        </references>
      </pivotArea>
    </chartFormat>
    <chartFormat chart="8" format="11">
      <pivotArea type="data" outline="0" fieldPosition="0">
        <references count="3">
          <reference field="4294967294" count="1" selected="0">
            <x v="0"/>
          </reference>
          <reference field="0"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71834B-9A5A-4195-BF12-58B74A83A15B}"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1535">
      <pivotArea type="all" dataOnly="0" outline="0" fieldPosition="0"/>
    </format>
    <format dxfId="1536">
      <pivotArea outline="0" collapsedLevelsAreSubtotals="1" fieldPosition="0"/>
    </format>
    <format dxfId="1534">
      <pivotArea type="all" dataOnly="0" outline="0" fieldPosition="0"/>
    </format>
    <format dxfId="1533">
      <pivotArea outline="0" collapsedLevelsAreSubtotals="1" fieldPosition="0"/>
    </format>
    <format dxfId="1532">
      <pivotArea field="0" type="button" dataOnly="0" labelOnly="1" outline="0" axis="axisRow" fieldPosition="0"/>
    </format>
    <format dxfId="1531">
      <pivotArea dataOnly="0" labelOnly="1" fieldPosition="0">
        <references count="1">
          <reference field="0" count="0"/>
        </references>
      </pivotArea>
    </format>
    <format dxfId="1530">
      <pivotArea dataOnly="0" labelOnly="1" grandRow="1" outline="0" fieldPosition="0"/>
    </format>
    <format dxfId="152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588C75-D4C9-48ED-93E7-99D5C4FD3663}"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of Rating" fld="12" subtotal="average" baseField="0" baseItem="1"/>
  </dataFields>
  <formats count="3">
    <format dxfId="1539">
      <pivotArea type="all" dataOnly="0" outline="0" fieldPosition="0"/>
    </format>
    <format dxfId="1538">
      <pivotArea outline="0" collapsedLevelsAreSubtotals="1" fieldPosition="0"/>
    </format>
    <format dxfId="153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F9B07DE-E275-490C-B940-D8A6CB2F35E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10"/>
    <pivotTable tabId="2" name="PivotTable11"/>
  </pivotTables>
  <data>
    <tabular pivotCacheId="131696392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3D72863-FAC8-428B-9A08-0A668D801758}" sourceName="Outlet Location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s>
  <data>
    <tabular pivotCacheId="131696392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F370B6B-F173-4573-89D1-3FBCD57209F6}" sourceName="Item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s>
  <data>
    <tabular pivotCacheId="131696392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6D6D8A2-51FE-47D0-9684-688D608ED162}" cache="Slicer_Outlet_Size" caption="Outlet Size" rowHeight="260350"/>
  <slicer name="Outlet Location Type" xr10:uid="{88F6A383-E843-4C56-AA2D-098F04EB8D42}" cache="Slicer_Outlet_Location_Type" caption="Outlet Location Type" rowHeight="260350"/>
  <slicer name="Item Type" xr10:uid="{BAB0D413-699F-4568-AAAF-70B235462E4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EA83B63-B8DF-44C1-830F-EDD0230E91C2}" cache="Slicer_Outlet_Size" caption="Outlet Size" style="Blinkit Data Analysis" rowHeight="260350"/>
  <slicer name="Outlet Location Type 1" xr10:uid="{EE7B529C-5B05-466A-9EE6-7C4F4069C0F0}" cache="Slicer_Outlet_Location_Type" caption="Outlet Location" style="Blinkit Data Analysis" rowHeight="260350"/>
  <slicer name="Item Type 1" xr10:uid="{73141859-B54D-4985-A439-56F041D7CC8C}" cache="Slicer_Item_Type" caption="Item Type" style="Blinkit Data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242C0F8-A517-47D5-A652-7C6914A47E85}"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F1EB-1178-4642-8768-1296921ADC56}">
  <dimension ref="A1:K121"/>
  <sheetViews>
    <sheetView workbookViewId="0">
      <selection activeCell="B13" sqref="B13"/>
    </sheetView>
  </sheetViews>
  <sheetFormatPr defaultRowHeight="15.6" x14ac:dyDescent="0.3"/>
  <cols>
    <col min="1" max="1" width="17.296875" bestFit="1" customWidth="1"/>
    <col min="2" max="2" width="11.3984375" bestFit="1" customWidth="1"/>
    <col min="3" max="3" width="11.8984375" bestFit="1" customWidth="1"/>
    <col min="4" max="4" width="15.69921875" bestFit="1" customWidth="1"/>
  </cols>
  <sheetData>
    <row r="1" spans="1:4" ht="16.2" thickBot="1" x14ac:dyDescent="0.35"/>
    <row r="2" spans="1:4" ht="26.4" thickBot="1" x14ac:dyDescent="0.55000000000000004">
      <c r="A2" s="12" t="s">
        <v>1620</v>
      </c>
      <c r="B2" s="13"/>
      <c r="C2" s="13"/>
      <c r="D2" s="14"/>
    </row>
    <row r="3" spans="1:4" ht="16.2" thickBot="1" x14ac:dyDescent="0.35">
      <c r="A3" s="20" t="s">
        <v>1610</v>
      </c>
      <c r="B3" s="21" t="s">
        <v>1611</v>
      </c>
      <c r="C3" s="21" t="s">
        <v>1614</v>
      </c>
      <c r="D3" s="22" t="s">
        <v>1615</v>
      </c>
    </row>
    <row r="4" spans="1:4" ht="16.2" thickBot="1" x14ac:dyDescent="0.35">
      <c r="A4" s="17">
        <v>1201681.4928000034</v>
      </c>
      <c r="B4" s="18">
        <v>140.99278338613203</v>
      </c>
      <c r="C4" s="18">
        <v>8523</v>
      </c>
      <c r="D4" s="19">
        <v>3.9658570925731196</v>
      </c>
    </row>
    <row r="5" spans="1:4" x14ac:dyDescent="0.3">
      <c r="A5" s="6"/>
      <c r="B5" s="7"/>
      <c r="C5" s="7"/>
      <c r="D5" s="8"/>
    </row>
    <row r="6" spans="1:4" x14ac:dyDescent="0.3">
      <c r="A6" s="6"/>
      <c r="B6" s="7"/>
      <c r="C6" s="7"/>
      <c r="D6" s="8"/>
    </row>
    <row r="7" spans="1:4" x14ac:dyDescent="0.3">
      <c r="A7" s="6" t="s">
        <v>1616</v>
      </c>
      <c r="B7" s="7" t="s">
        <v>1617</v>
      </c>
      <c r="C7" s="7" t="s">
        <v>1618</v>
      </c>
      <c r="D7" s="8" t="s">
        <v>1619</v>
      </c>
    </row>
    <row r="8" spans="1:4" ht="16.2" thickBot="1" x14ac:dyDescent="0.35">
      <c r="A8" s="23">
        <f>GETPIVOTDATA("Sum of Sales",$A$3)</f>
        <v>1201681.4928000034</v>
      </c>
      <c r="B8" s="9">
        <f>GETPIVOTDATA("Average Sales",$A$3)</f>
        <v>140.99278338613203</v>
      </c>
      <c r="C8" s="10">
        <f>GETPIVOTDATA("No of items",$A$3)</f>
        <v>8523</v>
      </c>
      <c r="D8" s="11">
        <f>GETPIVOTDATA("Average of Rating",$A$3)</f>
        <v>3.9658570925731196</v>
      </c>
    </row>
    <row r="10" spans="1:4" ht="16.2" thickBot="1" x14ac:dyDescent="0.35"/>
    <row r="11" spans="1:4" ht="26.4" thickBot="1" x14ac:dyDescent="0.55000000000000004">
      <c r="A11" s="12" t="s">
        <v>1623</v>
      </c>
      <c r="B11" s="13"/>
      <c r="C11" s="13"/>
      <c r="D11" s="14"/>
    </row>
    <row r="12" spans="1:4" ht="16.2" thickBot="1" x14ac:dyDescent="0.35">
      <c r="A12" s="33" t="s">
        <v>1621</v>
      </c>
      <c r="B12" s="22" t="s">
        <v>1610</v>
      </c>
      <c r="C12" s="2"/>
      <c r="D12" s="3"/>
    </row>
    <row r="13" spans="1:4" x14ac:dyDescent="0.3">
      <c r="A13" s="37" t="s">
        <v>17</v>
      </c>
      <c r="B13" s="27">
        <v>776319.68840000057</v>
      </c>
      <c r="C13" s="7"/>
      <c r="D13" s="8"/>
    </row>
    <row r="14" spans="1:4" ht="16.2" thickBot="1" x14ac:dyDescent="0.35">
      <c r="A14" s="26" t="s">
        <v>10</v>
      </c>
      <c r="B14" s="28">
        <v>425361.8043999995</v>
      </c>
      <c r="C14" s="7"/>
      <c r="D14" s="8"/>
    </row>
    <row r="15" spans="1:4" ht="16.2" thickBot="1" x14ac:dyDescent="0.35">
      <c r="A15" s="32" t="s">
        <v>1622</v>
      </c>
      <c r="B15" s="24">
        <v>1201681.4928000001</v>
      </c>
      <c r="C15" s="7"/>
      <c r="D15" s="8"/>
    </row>
    <row r="16" spans="1:4" x14ac:dyDescent="0.3">
      <c r="A16" s="6"/>
      <c r="B16" s="7"/>
      <c r="C16" s="7"/>
      <c r="D16" s="8"/>
    </row>
    <row r="17" spans="1:8" x14ac:dyDescent="0.3">
      <c r="A17" s="6"/>
      <c r="B17" s="7"/>
      <c r="C17" s="7"/>
      <c r="D17" s="8"/>
    </row>
    <row r="18" spans="1:8" ht="16.2" thickBot="1" x14ac:dyDescent="0.35">
      <c r="A18" s="29"/>
      <c r="B18" s="10"/>
      <c r="C18" s="10"/>
      <c r="D18" s="30"/>
    </row>
    <row r="20" spans="1:8" ht="16.2" thickBot="1" x14ac:dyDescent="0.35"/>
    <row r="21" spans="1:8" ht="26.4" thickBot="1" x14ac:dyDescent="0.55000000000000004">
      <c r="A21" s="12" t="s">
        <v>1626</v>
      </c>
      <c r="B21" s="13"/>
      <c r="C21" s="13"/>
      <c r="D21" s="14"/>
      <c r="E21" s="2"/>
      <c r="F21" s="2"/>
      <c r="G21" s="3"/>
    </row>
    <row r="22" spans="1:8" ht="16.2" thickBot="1" x14ac:dyDescent="0.35">
      <c r="A22" s="33" t="s">
        <v>1610</v>
      </c>
      <c r="B22" s="36" t="s">
        <v>1625</v>
      </c>
      <c r="C22" s="22"/>
      <c r="D22" s="7"/>
      <c r="E22" s="7"/>
      <c r="F22" s="7"/>
      <c r="G22" s="8"/>
    </row>
    <row r="23" spans="1:8" ht="16.2" thickBot="1" x14ac:dyDescent="0.35">
      <c r="A23" s="33" t="s">
        <v>1621</v>
      </c>
      <c r="B23" s="21" t="s">
        <v>10</v>
      </c>
      <c r="C23" s="22" t="s">
        <v>17</v>
      </c>
      <c r="D23" s="7"/>
      <c r="E23" s="7"/>
      <c r="F23" s="7"/>
      <c r="G23" s="8"/>
    </row>
    <row r="24" spans="1:8" x14ac:dyDescent="0.3">
      <c r="A24" s="37" t="s">
        <v>14</v>
      </c>
      <c r="B24" s="34">
        <v>121349.89940000001</v>
      </c>
      <c r="C24" s="35">
        <v>215047.9126000001</v>
      </c>
      <c r="D24" s="7"/>
      <c r="E24" s="7"/>
      <c r="F24" s="7"/>
      <c r="G24" s="8"/>
    </row>
    <row r="25" spans="1:8" x14ac:dyDescent="0.3">
      <c r="A25" s="25" t="s">
        <v>34</v>
      </c>
      <c r="B25" s="4">
        <v>138685.86819999994</v>
      </c>
      <c r="C25" s="5">
        <v>254464.77940000014</v>
      </c>
      <c r="D25" s="7"/>
      <c r="E25" s="7"/>
      <c r="F25" s="7"/>
      <c r="G25" s="8"/>
    </row>
    <row r="26" spans="1:8" ht="16.2" thickBot="1" x14ac:dyDescent="0.35">
      <c r="A26" s="26" t="s">
        <v>21</v>
      </c>
      <c r="B26" s="4">
        <v>165326.0368</v>
      </c>
      <c r="C26" s="5">
        <v>306806.99640000012</v>
      </c>
      <c r="D26" s="7"/>
      <c r="E26" s="7"/>
      <c r="F26" s="7"/>
      <c r="G26" s="8"/>
    </row>
    <row r="27" spans="1:8" ht="16.2" thickBot="1" x14ac:dyDescent="0.35">
      <c r="A27" s="32" t="s">
        <v>1622</v>
      </c>
      <c r="B27" s="15">
        <v>425361.80439999996</v>
      </c>
      <c r="C27" s="16">
        <v>776319.68840000033</v>
      </c>
      <c r="D27" s="7"/>
      <c r="E27" s="7"/>
      <c r="F27" s="7"/>
      <c r="G27" s="8"/>
    </row>
    <row r="28" spans="1:8" x14ac:dyDescent="0.3">
      <c r="A28" s="6"/>
      <c r="B28" s="7"/>
      <c r="C28" s="7"/>
      <c r="D28" s="7"/>
      <c r="E28" s="7"/>
      <c r="F28" s="7"/>
      <c r="G28" s="8"/>
    </row>
    <row r="29" spans="1:8" ht="16.2" thickBot="1" x14ac:dyDescent="0.35">
      <c r="A29" s="29"/>
      <c r="B29" s="10"/>
      <c r="C29" s="10"/>
      <c r="D29" s="10"/>
      <c r="E29" s="10"/>
      <c r="F29" s="10"/>
      <c r="G29" s="30"/>
    </row>
    <row r="31" spans="1:8" ht="16.2" thickBot="1" x14ac:dyDescent="0.35"/>
    <row r="32" spans="1:8" ht="26.4" thickBot="1" x14ac:dyDescent="0.55000000000000004">
      <c r="A32" s="12" t="s">
        <v>1624</v>
      </c>
      <c r="B32" s="13"/>
      <c r="C32" s="13"/>
      <c r="D32" s="14"/>
      <c r="E32" s="2"/>
      <c r="F32" s="2"/>
      <c r="G32" s="2"/>
      <c r="H32" s="3"/>
    </row>
    <row r="33" spans="1:8" ht="16.2" thickBot="1" x14ac:dyDescent="0.35">
      <c r="A33" s="33" t="s">
        <v>1621</v>
      </c>
      <c r="B33" s="22" t="s">
        <v>1610</v>
      </c>
      <c r="C33" s="7"/>
      <c r="D33" s="7"/>
      <c r="E33" s="7"/>
      <c r="F33" s="7"/>
      <c r="G33" s="7"/>
      <c r="H33" s="8"/>
    </row>
    <row r="34" spans="1:8" x14ac:dyDescent="0.3">
      <c r="A34" s="37" t="s">
        <v>153</v>
      </c>
      <c r="B34" s="38">
        <v>9077.869999999999</v>
      </c>
      <c r="C34" s="7"/>
      <c r="D34" s="7"/>
      <c r="E34" s="7"/>
      <c r="F34" s="7"/>
      <c r="G34" s="7"/>
      <c r="H34" s="8"/>
    </row>
    <row r="35" spans="1:8" x14ac:dyDescent="0.3">
      <c r="A35" s="25" t="s">
        <v>74</v>
      </c>
      <c r="B35" s="39">
        <v>15596.696600000001</v>
      </c>
      <c r="C35" s="7"/>
      <c r="D35" s="7"/>
      <c r="E35" s="7"/>
      <c r="F35" s="7"/>
      <c r="G35" s="7"/>
      <c r="H35" s="8"/>
    </row>
    <row r="36" spans="1:8" x14ac:dyDescent="0.3">
      <c r="A36" s="25" t="s">
        <v>159</v>
      </c>
      <c r="B36" s="39">
        <v>21880.027399999992</v>
      </c>
      <c r="C36" s="7"/>
      <c r="D36" s="7"/>
      <c r="E36" s="7"/>
      <c r="F36" s="7"/>
      <c r="G36" s="7"/>
      <c r="H36" s="8"/>
    </row>
    <row r="37" spans="1:8" x14ac:dyDescent="0.3">
      <c r="A37" s="25" t="s">
        <v>64</v>
      </c>
      <c r="B37" s="39">
        <v>22451.891599999999</v>
      </c>
      <c r="C37" s="7"/>
      <c r="D37" s="7"/>
      <c r="E37" s="7"/>
      <c r="F37" s="7"/>
      <c r="G37" s="7"/>
      <c r="H37" s="8"/>
    </row>
    <row r="38" spans="1:8" x14ac:dyDescent="0.3">
      <c r="A38" s="25" t="s">
        <v>61</v>
      </c>
      <c r="B38" s="39">
        <v>29334.680599999996</v>
      </c>
      <c r="C38" s="7"/>
      <c r="D38" s="7"/>
      <c r="E38" s="7"/>
      <c r="F38" s="7"/>
      <c r="G38" s="7"/>
      <c r="H38" s="8"/>
    </row>
    <row r="39" spans="1:8" x14ac:dyDescent="0.3">
      <c r="A39" s="25" t="s">
        <v>57</v>
      </c>
      <c r="B39" s="39">
        <v>35379.119800000015</v>
      </c>
      <c r="C39" s="7"/>
      <c r="D39" s="7"/>
      <c r="E39" s="7"/>
      <c r="F39" s="7"/>
      <c r="G39" s="7"/>
      <c r="H39" s="8"/>
    </row>
    <row r="40" spans="1:8" x14ac:dyDescent="0.3">
      <c r="A40" s="25" t="s">
        <v>32</v>
      </c>
      <c r="B40" s="39">
        <v>58514.166999999987</v>
      </c>
      <c r="C40" s="7"/>
      <c r="D40" s="7"/>
      <c r="E40" s="7"/>
      <c r="F40" s="7"/>
      <c r="G40" s="7"/>
      <c r="H40" s="8"/>
    </row>
    <row r="41" spans="1:8" x14ac:dyDescent="0.3">
      <c r="A41" s="25" t="s">
        <v>54</v>
      </c>
      <c r="B41" s="39">
        <v>59449.863799999992</v>
      </c>
      <c r="C41" s="7"/>
      <c r="D41" s="7"/>
      <c r="E41" s="7"/>
      <c r="F41" s="7"/>
      <c r="G41" s="7"/>
      <c r="H41" s="8"/>
    </row>
    <row r="42" spans="1:8" x14ac:dyDescent="0.3">
      <c r="A42" s="25" t="s">
        <v>19</v>
      </c>
      <c r="B42" s="39">
        <v>68025.838800000012</v>
      </c>
      <c r="C42" s="7"/>
      <c r="D42" s="7"/>
      <c r="E42" s="7"/>
      <c r="F42" s="7"/>
      <c r="G42" s="7"/>
      <c r="H42" s="8"/>
    </row>
    <row r="43" spans="1:8" x14ac:dyDescent="0.3">
      <c r="A43" s="25" t="s">
        <v>95</v>
      </c>
      <c r="B43" s="39">
        <v>81894.736400000009</v>
      </c>
      <c r="C43" s="7"/>
      <c r="D43" s="7"/>
      <c r="E43" s="7"/>
      <c r="F43" s="7"/>
      <c r="G43" s="7"/>
      <c r="H43" s="8"/>
    </row>
    <row r="44" spans="1:8" x14ac:dyDescent="0.3">
      <c r="A44" s="25" t="s">
        <v>28</v>
      </c>
      <c r="B44" s="39">
        <v>90706.728999999992</v>
      </c>
      <c r="C44" s="7"/>
      <c r="D44" s="7"/>
      <c r="E44" s="7"/>
      <c r="F44" s="7"/>
      <c r="G44" s="7"/>
      <c r="H44" s="8"/>
    </row>
    <row r="45" spans="1:8" x14ac:dyDescent="0.3">
      <c r="A45" s="25" t="s">
        <v>67</v>
      </c>
      <c r="B45" s="39">
        <v>101276.46159999995</v>
      </c>
      <c r="C45" s="7"/>
      <c r="D45" s="7"/>
      <c r="E45" s="7"/>
      <c r="F45" s="7"/>
      <c r="G45" s="7"/>
      <c r="H45" s="8"/>
    </row>
    <row r="46" spans="1:8" x14ac:dyDescent="0.3">
      <c r="A46" s="25" t="s">
        <v>24</v>
      </c>
      <c r="B46" s="39">
        <v>118558.88140000009</v>
      </c>
      <c r="C46" s="7"/>
      <c r="D46" s="7"/>
      <c r="E46" s="7"/>
      <c r="F46" s="7"/>
      <c r="G46" s="7"/>
      <c r="H46" s="8"/>
    </row>
    <row r="47" spans="1:8" x14ac:dyDescent="0.3">
      <c r="A47" s="25" t="s">
        <v>42</v>
      </c>
      <c r="B47" s="39">
        <v>135976.52539999998</v>
      </c>
      <c r="C47" s="7"/>
      <c r="D47" s="7"/>
      <c r="E47" s="7"/>
      <c r="F47" s="7"/>
      <c r="G47" s="7"/>
      <c r="H47" s="8"/>
    </row>
    <row r="48" spans="1:8" x14ac:dyDescent="0.3">
      <c r="A48" s="25" t="s">
        <v>48</v>
      </c>
      <c r="B48" s="39">
        <v>175433.92240000021</v>
      </c>
      <c r="C48" s="7"/>
      <c r="D48" s="7"/>
      <c r="E48" s="7"/>
      <c r="F48" s="7"/>
      <c r="G48" s="7"/>
      <c r="H48" s="8"/>
    </row>
    <row r="49" spans="1:8" ht="16.2" thickBot="1" x14ac:dyDescent="0.35">
      <c r="A49" s="26" t="s">
        <v>12</v>
      </c>
      <c r="B49" s="39">
        <v>178124.08099999995</v>
      </c>
      <c r="C49" s="7"/>
      <c r="D49" s="7"/>
      <c r="E49" s="7"/>
      <c r="F49" s="7"/>
      <c r="G49" s="7"/>
      <c r="H49" s="8"/>
    </row>
    <row r="50" spans="1:8" ht="16.2" thickBot="1" x14ac:dyDescent="0.35">
      <c r="A50" s="32" t="s">
        <v>1622</v>
      </c>
      <c r="B50" s="40">
        <v>1201681.4927999999</v>
      </c>
      <c r="C50" s="10"/>
      <c r="D50" s="10"/>
      <c r="E50" s="10"/>
      <c r="F50" s="10"/>
      <c r="G50" s="10"/>
      <c r="H50" s="30"/>
    </row>
    <row r="52" spans="1:8" ht="16.2" thickBot="1" x14ac:dyDescent="0.35"/>
    <row r="53" spans="1:8" ht="26.4" thickBot="1" x14ac:dyDescent="0.55000000000000004">
      <c r="A53" s="12" t="s">
        <v>1627</v>
      </c>
      <c r="B53" s="13"/>
      <c r="C53" s="13"/>
      <c r="D53" s="14"/>
      <c r="E53" s="2"/>
      <c r="F53" s="2"/>
      <c r="G53" s="3"/>
    </row>
    <row r="54" spans="1:8" ht="16.2" thickBot="1" x14ac:dyDescent="0.35">
      <c r="A54" s="33" t="s">
        <v>1621</v>
      </c>
      <c r="B54" s="22" t="s">
        <v>1610</v>
      </c>
      <c r="C54" s="7"/>
      <c r="D54" s="7"/>
      <c r="E54" s="7"/>
      <c r="F54" s="7"/>
      <c r="G54" s="8"/>
    </row>
    <row r="55" spans="1:8" x14ac:dyDescent="0.3">
      <c r="A55" s="37">
        <v>2011</v>
      </c>
      <c r="B55" s="38">
        <v>78131.566599999976</v>
      </c>
      <c r="C55" s="7"/>
      <c r="D55" s="7"/>
      <c r="E55" s="7"/>
      <c r="F55" s="7"/>
      <c r="G55" s="8"/>
    </row>
    <row r="56" spans="1:8" x14ac:dyDescent="0.3">
      <c r="A56" s="25">
        <v>2012</v>
      </c>
      <c r="B56" s="39">
        <v>130476.85979999998</v>
      </c>
      <c r="C56" s="7"/>
      <c r="D56" s="7"/>
      <c r="E56" s="7"/>
      <c r="F56" s="7"/>
      <c r="G56" s="8"/>
    </row>
    <row r="57" spans="1:8" x14ac:dyDescent="0.3">
      <c r="A57" s="25">
        <v>2014</v>
      </c>
      <c r="B57" s="39">
        <v>131809.01560000007</v>
      </c>
      <c r="C57" s="7"/>
      <c r="D57" s="7"/>
      <c r="E57" s="7"/>
      <c r="F57" s="7"/>
      <c r="G57" s="8"/>
    </row>
    <row r="58" spans="1:8" x14ac:dyDescent="0.3">
      <c r="A58" s="25">
        <v>2015</v>
      </c>
      <c r="B58" s="39">
        <v>130942.78019999999</v>
      </c>
      <c r="C58" s="7"/>
      <c r="D58" s="7"/>
      <c r="E58" s="7"/>
      <c r="F58" s="7"/>
      <c r="G58" s="8"/>
    </row>
    <row r="59" spans="1:8" x14ac:dyDescent="0.3">
      <c r="A59" s="25">
        <v>2016</v>
      </c>
      <c r="B59" s="39">
        <v>132113.36980000007</v>
      </c>
      <c r="C59" s="7"/>
      <c r="D59" s="7"/>
      <c r="E59" s="7"/>
      <c r="F59" s="7"/>
      <c r="G59" s="8"/>
    </row>
    <row r="60" spans="1:8" x14ac:dyDescent="0.3">
      <c r="A60" s="25">
        <v>2017</v>
      </c>
      <c r="B60" s="39">
        <v>133103.90699999989</v>
      </c>
      <c r="C60" s="7"/>
      <c r="D60" s="7"/>
      <c r="E60" s="7"/>
      <c r="F60" s="7"/>
      <c r="G60" s="8"/>
    </row>
    <row r="61" spans="1:8" x14ac:dyDescent="0.3">
      <c r="A61" s="25">
        <v>2018</v>
      </c>
      <c r="B61" s="39">
        <v>204522.25700000025</v>
      </c>
      <c r="C61" s="7"/>
      <c r="D61" s="7"/>
      <c r="E61" s="7"/>
      <c r="F61" s="7"/>
      <c r="G61" s="8"/>
    </row>
    <row r="62" spans="1:8" x14ac:dyDescent="0.3">
      <c r="A62" s="25">
        <v>2020</v>
      </c>
      <c r="B62" s="39">
        <v>129103.96039999987</v>
      </c>
      <c r="C62" s="7"/>
      <c r="D62" s="7"/>
      <c r="E62" s="7"/>
      <c r="F62" s="7"/>
      <c r="G62" s="8"/>
    </row>
    <row r="63" spans="1:8" ht="16.2" thickBot="1" x14ac:dyDescent="0.35">
      <c r="A63" s="26">
        <v>2022</v>
      </c>
      <c r="B63" s="39">
        <v>131477.77639999994</v>
      </c>
      <c r="C63" s="7"/>
      <c r="D63" s="7"/>
      <c r="E63" s="7"/>
      <c r="F63" s="7"/>
      <c r="G63" s="8"/>
    </row>
    <row r="64" spans="1:8" ht="16.2" thickBot="1" x14ac:dyDescent="0.35">
      <c r="A64" s="32" t="s">
        <v>1622</v>
      </c>
      <c r="B64" s="40">
        <v>1201681.4927999999</v>
      </c>
      <c r="C64" s="7"/>
      <c r="D64" s="7"/>
      <c r="E64" s="7"/>
      <c r="F64" s="7"/>
      <c r="G64" s="8"/>
    </row>
    <row r="65" spans="1:7" x14ac:dyDescent="0.3">
      <c r="A65" s="6"/>
      <c r="B65" s="7"/>
      <c r="C65" s="7"/>
      <c r="D65" s="7"/>
      <c r="E65" s="7"/>
      <c r="F65" s="7"/>
      <c r="G65" s="8"/>
    </row>
    <row r="66" spans="1:7" ht="16.2" thickBot="1" x14ac:dyDescent="0.35">
      <c r="A66" s="29"/>
      <c r="B66" s="10"/>
      <c r="C66" s="10"/>
      <c r="D66" s="10"/>
      <c r="E66" s="10"/>
      <c r="F66" s="10"/>
      <c r="G66" s="30"/>
    </row>
    <row r="68" spans="1:7" ht="16.2" thickBot="1" x14ac:dyDescent="0.35"/>
    <row r="69" spans="1:7" ht="26.4" thickBot="1" x14ac:dyDescent="0.55000000000000004">
      <c r="A69" s="12" t="s">
        <v>1628</v>
      </c>
      <c r="B69" s="13"/>
      <c r="C69" s="13"/>
      <c r="D69" s="14"/>
      <c r="E69" s="12"/>
      <c r="F69" s="14"/>
    </row>
    <row r="70" spans="1:7" ht="16.2" thickBot="1" x14ac:dyDescent="0.35">
      <c r="A70" s="33" t="s">
        <v>1621</v>
      </c>
      <c r="B70" s="31" t="s">
        <v>1610</v>
      </c>
      <c r="C70" s="7"/>
      <c r="D70" s="7"/>
      <c r="E70" s="7"/>
      <c r="F70" s="8"/>
    </row>
    <row r="71" spans="1:7" x14ac:dyDescent="0.3">
      <c r="A71" s="25" t="s">
        <v>30</v>
      </c>
      <c r="B71" s="38">
        <v>248991.58600000024</v>
      </c>
      <c r="C71" s="7"/>
      <c r="D71" s="7"/>
      <c r="E71" s="7"/>
      <c r="F71" s="8"/>
    </row>
    <row r="72" spans="1:7" x14ac:dyDescent="0.3">
      <c r="A72" s="25" t="s">
        <v>15</v>
      </c>
      <c r="B72" s="39">
        <v>507895.7363999993</v>
      </c>
      <c r="C72" s="7"/>
      <c r="D72" s="7"/>
      <c r="E72" s="7"/>
      <c r="F72" s="8"/>
    </row>
    <row r="73" spans="1:7" ht="16.2" thickBot="1" x14ac:dyDescent="0.35">
      <c r="A73" s="26" t="s">
        <v>26</v>
      </c>
      <c r="B73" s="39">
        <v>444794.17039999936</v>
      </c>
      <c r="C73" s="7"/>
      <c r="D73" s="7"/>
      <c r="E73" s="7"/>
      <c r="F73" s="8"/>
    </row>
    <row r="74" spans="1:7" ht="16.2" thickBot="1" x14ac:dyDescent="0.35">
      <c r="A74" s="32" t="s">
        <v>1622</v>
      </c>
      <c r="B74" s="40">
        <v>1201681.4927999987</v>
      </c>
      <c r="C74" s="7"/>
      <c r="D74" s="7"/>
      <c r="E74" s="7"/>
      <c r="F74" s="8"/>
    </row>
    <row r="75" spans="1:7" x14ac:dyDescent="0.3">
      <c r="A75" s="6"/>
      <c r="B75" s="7"/>
      <c r="C75" s="7"/>
      <c r="D75" s="7"/>
      <c r="E75" s="7"/>
      <c r="F75" s="8"/>
    </row>
    <row r="76" spans="1:7" x14ac:dyDescent="0.3">
      <c r="A76" s="6"/>
      <c r="B76" s="7"/>
      <c r="C76" s="7"/>
      <c r="D76" s="7"/>
      <c r="E76" s="7"/>
      <c r="F76" s="8"/>
    </row>
    <row r="77" spans="1:7" x14ac:dyDescent="0.3">
      <c r="A77" s="6"/>
      <c r="B77" s="7"/>
      <c r="C77" s="7"/>
      <c r="D77" s="7"/>
      <c r="E77" s="7"/>
      <c r="F77" s="8"/>
    </row>
    <row r="78" spans="1:7" x14ac:dyDescent="0.3">
      <c r="A78" s="6"/>
      <c r="B78" s="7"/>
      <c r="C78" s="7"/>
      <c r="D78" s="7"/>
      <c r="E78" s="7"/>
      <c r="F78" s="8"/>
    </row>
    <row r="79" spans="1:7" ht="16.2" thickBot="1" x14ac:dyDescent="0.35">
      <c r="A79" s="29"/>
      <c r="B79" s="10"/>
      <c r="C79" s="10"/>
      <c r="D79" s="10"/>
      <c r="E79" s="10"/>
      <c r="F79" s="30"/>
    </row>
    <row r="81" spans="1:11" ht="16.2" thickBot="1" x14ac:dyDescent="0.35"/>
    <row r="82" spans="1:11" ht="26.4" thickBot="1" x14ac:dyDescent="0.55000000000000004">
      <c r="A82" s="1"/>
      <c r="B82" s="12" t="s">
        <v>1630</v>
      </c>
      <c r="C82" s="13"/>
      <c r="D82" s="13"/>
      <c r="E82" s="14"/>
      <c r="F82" s="12"/>
      <c r="G82" s="13"/>
      <c r="H82" s="13"/>
      <c r="I82" s="14"/>
      <c r="J82" s="2"/>
      <c r="K82" s="3"/>
    </row>
    <row r="83" spans="1:11" ht="16.2" thickBot="1" x14ac:dyDescent="0.35">
      <c r="A83" s="33" t="s">
        <v>1621</v>
      </c>
      <c r="B83" s="31" t="s">
        <v>1610</v>
      </c>
      <c r="C83" s="7"/>
      <c r="D83" s="7" t="s">
        <v>1629</v>
      </c>
      <c r="E83" s="7" t="s">
        <v>1608</v>
      </c>
      <c r="F83" s="7"/>
      <c r="G83" s="7"/>
      <c r="H83" s="7"/>
      <c r="I83" s="7"/>
      <c r="J83" s="7"/>
      <c r="K83" s="8"/>
    </row>
    <row r="84" spans="1:11" x14ac:dyDescent="0.3">
      <c r="A84" s="37" t="s">
        <v>21</v>
      </c>
      <c r="B84" s="38">
        <v>472133.03319999954</v>
      </c>
      <c r="C84" s="7"/>
      <c r="D84" s="7" t="str">
        <f>A84</f>
        <v>Tier 3</v>
      </c>
      <c r="E84" s="41">
        <f>GETPIVOTDATA("Sales",$A$83,"Outlet Location Type",A84)</f>
        <v>472133.03319999954</v>
      </c>
      <c r="F84" s="7"/>
      <c r="G84" s="7"/>
      <c r="H84" s="7"/>
      <c r="I84" s="7"/>
      <c r="J84" s="7"/>
      <c r="K84" s="8"/>
    </row>
    <row r="85" spans="1:11" x14ac:dyDescent="0.3">
      <c r="A85" s="25" t="s">
        <v>34</v>
      </c>
      <c r="B85" s="39">
        <v>393150.64759999956</v>
      </c>
      <c r="C85" s="7"/>
      <c r="D85" s="7" t="str">
        <f t="shared" ref="D85:D86" si="0">A85</f>
        <v>Tier 2</v>
      </c>
      <c r="E85" s="41">
        <f t="shared" ref="E85:E86" si="1">GETPIVOTDATA("Sales",$A$83,"Outlet Location Type",A85)</f>
        <v>393150.64759999956</v>
      </c>
      <c r="F85" s="7"/>
      <c r="G85" s="7"/>
      <c r="H85" s="7"/>
      <c r="I85" s="7"/>
      <c r="J85" s="7"/>
      <c r="K85" s="8"/>
    </row>
    <row r="86" spans="1:11" ht="16.2" thickBot="1" x14ac:dyDescent="0.35">
      <c r="A86" s="26" t="s">
        <v>14</v>
      </c>
      <c r="B86" s="39">
        <v>336397.81199999945</v>
      </c>
      <c r="C86" s="7"/>
      <c r="D86" s="7" t="str">
        <f t="shared" si="0"/>
        <v>Tier 1</v>
      </c>
      <c r="E86" s="41">
        <f t="shared" si="1"/>
        <v>336397.81199999945</v>
      </c>
      <c r="F86" s="7"/>
      <c r="G86" s="7"/>
      <c r="H86" s="7"/>
      <c r="I86" s="7"/>
      <c r="J86" s="7"/>
      <c r="K86" s="8"/>
    </row>
    <row r="87" spans="1:11" ht="16.2" thickBot="1" x14ac:dyDescent="0.35">
      <c r="A87" s="32" t="s">
        <v>1622</v>
      </c>
      <c r="B87" s="40">
        <v>1201681.4927999985</v>
      </c>
      <c r="C87" s="7"/>
      <c r="D87" s="7"/>
      <c r="E87" s="7"/>
      <c r="F87" s="7"/>
      <c r="G87" s="7"/>
      <c r="H87" s="7"/>
      <c r="I87" s="7"/>
      <c r="J87" s="7"/>
      <c r="K87" s="8"/>
    </row>
    <row r="88" spans="1:11" x14ac:dyDescent="0.3">
      <c r="A88" s="6"/>
      <c r="B88" s="7"/>
      <c r="C88" s="7"/>
      <c r="D88" s="7"/>
      <c r="E88" s="7"/>
      <c r="F88" s="7"/>
      <c r="G88" s="7"/>
      <c r="H88" s="7"/>
      <c r="I88" s="7"/>
      <c r="J88" s="7"/>
      <c r="K88" s="8"/>
    </row>
    <row r="89" spans="1:11" x14ac:dyDescent="0.3">
      <c r="A89" s="6"/>
      <c r="B89" s="7"/>
      <c r="C89" s="7"/>
      <c r="D89" s="7"/>
      <c r="E89" s="7"/>
      <c r="F89" s="7"/>
      <c r="G89" s="7"/>
      <c r="H89" s="7"/>
      <c r="I89" s="7"/>
      <c r="J89" s="7"/>
      <c r="K89" s="8"/>
    </row>
    <row r="90" spans="1:11" x14ac:dyDescent="0.3">
      <c r="A90" s="6"/>
      <c r="B90" s="7"/>
      <c r="C90" s="7"/>
      <c r="D90" s="7"/>
      <c r="E90" s="7"/>
      <c r="F90" s="7"/>
      <c r="G90" s="7"/>
      <c r="H90" s="7"/>
      <c r="I90" s="7"/>
      <c r="J90" s="7"/>
      <c r="K90" s="8"/>
    </row>
    <row r="91" spans="1:11" ht="16.2" thickBot="1" x14ac:dyDescent="0.35">
      <c r="A91" s="29"/>
      <c r="B91" s="10"/>
      <c r="C91" s="10"/>
      <c r="D91" s="10"/>
      <c r="E91" s="10"/>
      <c r="F91" s="10"/>
      <c r="G91" s="10"/>
      <c r="H91" s="10"/>
      <c r="I91" s="10"/>
      <c r="J91" s="10"/>
      <c r="K91" s="30"/>
    </row>
    <row r="93" spans="1:11" ht="16.2" thickBot="1" x14ac:dyDescent="0.35"/>
    <row r="94" spans="1:11" ht="26.4" thickBot="1" x14ac:dyDescent="0.55000000000000004">
      <c r="A94" s="12" t="s">
        <v>1632</v>
      </c>
      <c r="B94" s="13"/>
      <c r="C94" s="13"/>
      <c r="D94" s="14"/>
      <c r="E94" s="2"/>
      <c r="F94" s="3"/>
    </row>
    <row r="95" spans="1:11" ht="16.2" thickBot="1" x14ac:dyDescent="0.35">
      <c r="A95" s="33" t="s">
        <v>1621</v>
      </c>
      <c r="B95" s="31" t="s">
        <v>1610</v>
      </c>
      <c r="C95" s="7"/>
      <c r="D95" s="7"/>
      <c r="E95" s="7"/>
      <c r="F95" s="8"/>
    </row>
    <row r="96" spans="1:11" x14ac:dyDescent="0.3">
      <c r="A96" s="37" t="s">
        <v>40</v>
      </c>
      <c r="B96" s="38">
        <v>151939.149</v>
      </c>
      <c r="C96" s="7"/>
      <c r="D96" s="7"/>
      <c r="E96" s="7"/>
      <c r="F96" s="8"/>
    </row>
    <row r="97" spans="1:6" x14ac:dyDescent="0.3">
      <c r="A97" s="25" t="s">
        <v>46</v>
      </c>
      <c r="B97" s="39">
        <v>130714.67460000006</v>
      </c>
      <c r="C97" s="7"/>
      <c r="D97" s="7"/>
      <c r="E97" s="7"/>
      <c r="F97" s="8"/>
    </row>
    <row r="98" spans="1:6" x14ac:dyDescent="0.3">
      <c r="A98" s="25" t="s">
        <v>22</v>
      </c>
      <c r="B98" s="39">
        <v>131477.77639999994</v>
      </c>
      <c r="C98" s="7"/>
      <c r="D98" s="7"/>
      <c r="E98" s="7"/>
      <c r="F98" s="8"/>
    </row>
    <row r="99" spans="1:6" ht="16.2" thickBot="1" x14ac:dyDescent="0.35">
      <c r="A99" s="26" t="s">
        <v>16</v>
      </c>
      <c r="B99" s="39">
        <v>787549.89280000131</v>
      </c>
      <c r="C99" s="7"/>
      <c r="D99" s="7"/>
      <c r="E99" s="7"/>
      <c r="F99" s="8"/>
    </row>
    <row r="100" spans="1:6" ht="16.2" thickBot="1" x14ac:dyDescent="0.35">
      <c r="A100" s="32" t="s">
        <v>1622</v>
      </c>
      <c r="B100" s="40">
        <v>1201681.4928000013</v>
      </c>
      <c r="C100" s="7"/>
      <c r="D100" s="7"/>
      <c r="E100" s="7"/>
      <c r="F100" s="8"/>
    </row>
    <row r="101" spans="1:6" x14ac:dyDescent="0.3">
      <c r="A101" s="6"/>
      <c r="B101" s="7"/>
      <c r="C101" s="7"/>
      <c r="D101" s="7"/>
      <c r="E101" s="7"/>
      <c r="F101" s="8"/>
    </row>
    <row r="102" spans="1:6" x14ac:dyDescent="0.3">
      <c r="A102" s="6"/>
      <c r="B102" s="7"/>
      <c r="C102" s="7"/>
      <c r="D102" s="7"/>
      <c r="E102" s="7"/>
      <c r="F102" s="8"/>
    </row>
    <row r="103" spans="1:6" x14ac:dyDescent="0.3">
      <c r="A103" s="6"/>
      <c r="B103" s="7"/>
      <c r="C103" s="7"/>
      <c r="D103" s="7"/>
      <c r="E103" s="7"/>
      <c r="F103" s="8"/>
    </row>
    <row r="104" spans="1:6" x14ac:dyDescent="0.3">
      <c r="A104" s="6"/>
      <c r="B104" s="7"/>
      <c r="C104" s="7"/>
      <c r="D104" s="7"/>
      <c r="E104" s="7"/>
      <c r="F104" s="8"/>
    </row>
    <row r="105" spans="1:6" ht="16.2" thickBot="1" x14ac:dyDescent="0.35">
      <c r="A105" s="6"/>
      <c r="B105" s="7"/>
      <c r="C105" s="7"/>
      <c r="D105" s="7"/>
      <c r="E105" s="7"/>
      <c r="F105" s="8"/>
    </row>
    <row r="106" spans="1:6" ht="16.2" thickBot="1" x14ac:dyDescent="0.35">
      <c r="A106" s="33" t="s">
        <v>1621</v>
      </c>
      <c r="B106" s="31" t="s">
        <v>1631</v>
      </c>
      <c r="C106" s="44"/>
      <c r="D106" s="44"/>
      <c r="E106" s="7"/>
      <c r="F106" s="8"/>
    </row>
    <row r="107" spans="1:6" x14ac:dyDescent="0.3">
      <c r="A107" s="37" t="s">
        <v>40</v>
      </c>
      <c r="B107" s="42">
        <v>140.29468975069253</v>
      </c>
      <c r="C107" s="45"/>
      <c r="D107" s="46"/>
      <c r="E107" s="7"/>
      <c r="F107" s="8"/>
    </row>
    <row r="108" spans="1:6" x14ac:dyDescent="0.3">
      <c r="A108" s="25" t="s">
        <v>46</v>
      </c>
      <c r="B108" s="43">
        <v>139.80179101604284</v>
      </c>
      <c r="C108" s="45"/>
      <c r="D108" s="46"/>
      <c r="E108" s="7"/>
      <c r="F108" s="8"/>
    </row>
    <row r="109" spans="1:6" x14ac:dyDescent="0.3">
      <c r="A109" s="25" t="s">
        <v>22</v>
      </c>
      <c r="B109" s="43">
        <v>141.67863836206891</v>
      </c>
      <c r="C109" s="45"/>
      <c r="D109" s="46"/>
      <c r="E109" s="7"/>
      <c r="F109" s="8"/>
    </row>
    <row r="110" spans="1:6" ht="16.2" thickBot="1" x14ac:dyDescent="0.35">
      <c r="A110" s="26" t="s">
        <v>16</v>
      </c>
      <c r="B110" s="43">
        <v>141.21389506903375</v>
      </c>
      <c r="C110" s="45"/>
      <c r="D110" s="46"/>
      <c r="E110" s="7"/>
      <c r="F110" s="8"/>
    </row>
    <row r="111" spans="1:6" ht="16.2" thickBot="1" x14ac:dyDescent="0.35">
      <c r="A111" s="32" t="s">
        <v>1622</v>
      </c>
      <c r="B111" s="40">
        <v>140.99278338613175</v>
      </c>
      <c r="C111" s="7"/>
      <c r="D111" s="7"/>
      <c r="E111" s="7"/>
      <c r="F111" s="8"/>
    </row>
    <row r="112" spans="1:6" x14ac:dyDescent="0.3">
      <c r="A112" s="6"/>
      <c r="B112" s="7"/>
      <c r="C112" s="7"/>
      <c r="D112" s="7"/>
      <c r="E112" s="7"/>
      <c r="F112" s="8"/>
    </row>
    <row r="113" spans="1:6" ht="16.2" thickBot="1" x14ac:dyDescent="0.35">
      <c r="A113" s="6"/>
      <c r="B113" s="7"/>
      <c r="C113" s="7"/>
      <c r="D113" s="7"/>
      <c r="E113" s="7"/>
      <c r="F113" s="8"/>
    </row>
    <row r="114" spans="1:6" ht="16.2" thickBot="1" x14ac:dyDescent="0.35">
      <c r="A114" s="33" t="s">
        <v>1621</v>
      </c>
      <c r="B114" s="31" t="s">
        <v>1613</v>
      </c>
      <c r="C114" s="7"/>
      <c r="D114" s="7"/>
      <c r="E114" s="7"/>
      <c r="F114" s="8"/>
    </row>
    <row r="115" spans="1:6" x14ac:dyDescent="0.3">
      <c r="A115" s="37" t="s">
        <v>40</v>
      </c>
      <c r="B115" s="47">
        <v>1083</v>
      </c>
      <c r="C115" s="7"/>
      <c r="D115" s="7"/>
      <c r="E115" s="7"/>
      <c r="F115" s="8"/>
    </row>
    <row r="116" spans="1:6" x14ac:dyDescent="0.3">
      <c r="A116" s="25" t="s">
        <v>46</v>
      </c>
      <c r="B116" s="48">
        <v>935</v>
      </c>
      <c r="C116" s="7"/>
      <c r="D116" s="7"/>
      <c r="E116" s="7"/>
      <c r="F116" s="8"/>
    </row>
    <row r="117" spans="1:6" x14ac:dyDescent="0.3">
      <c r="A117" s="25" t="s">
        <v>22</v>
      </c>
      <c r="B117" s="48">
        <v>928</v>
      </c>
      <c r="C117" s="7"/>
      <c r="D117" s="7"/>
      <c r="E117" s="7"/>
      <c r="F117" s="8"/>
    </row>
    <row r="118" spans="1:6" ht="16.2" thickBot="1" x14ac:dyDescent="0.35">
      <c r="A118" s="26" t="s">
        <v>16</v>
      </c>
      <c r="B118" s="48">
        <v>5577</v>
      </c>
      <c r="C118" s="7"/>
      <c r="D118" s="7"/>
      <c r="E118" s="7"/>
      <c r="F118" s="8"/>
    </row>
    <row r="119" spans="1:6" ht="16.2" thickBot="1" x14ac:dyDescent="0.35">
      <c r="A119" s="32" t="s">
        <v>1622</v>
      </c>
      <c r="B119" s="49">
        <v>8523</v>
      </c>
      <c r="C119" s="7"/>
      <c r="D119" s="7"/>
      <c r="E119" s="7"/>
      <c r="F119" s="8"/>
    </row>
    <row r="120" spans="1:6" x14ac:dyDescent="0.3">
      <c r="A120" s="6"/>
      <c r="B120" s="7"/>
      <c r="C120" s="7"/>
      <c r="D120" s="7"/>
      <c r="E120" s="7"/>
      <c r="F120" s="8"/>
    </row>
    <row r="121" spans="1:6" ht="16.2" thickBot="1" x14ac:dyDescent="0.35">
      <c r="A121" s="29"/>
      <c r="B121" s="10"/>
      <c r="C121" s="10"/>
      <c r="D121" s="10"/>
      <c r="E121" s="10"/>
      <c r="F121" s="30"/>
    </row>
  </sheetData>
  <mergeCells count="10">
    <mergeCell ref="A94:D94"/>
    <mergeCell ref="A69:D69"/>
    <mergeCell ref="E69:F69"/>
    <mergeCell ref="B82:E82"/>
    <mergeCell ref="F82:I82"/>
    <mergeCell ref="A2:D2"/>
    <mergeCell ref="A11:D11"/>
    <mergeCell ref="A21:D21"/>
    <mergeCell ref="A32:D32"/>
    <mergeCell ref="A53:D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E1B5-171F-4C55-B705-59F8F9266418}">
  <dimension ref="A1"/>
  <sheetViews>
    <sheetView showGridLines="0" tabSelected="1" topLeftCell="B3" zoomScale="82" zoomScaleNormal="82" workbookViewId="0">
      <selection activeCell="B24" sqref="B2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8525" sqref="B8525"/>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Satabdi Paul</cp:lastModifiedBy>
  <dcterms:created xsi:type="dcterms:W3CDTF">2024-06-23T13:11:17Z</dcterms:created>
  <dcterms:modified xsi:type="dcterms:W3CDTF">2026-06-21T07:41:26Z</dcterms:modified>
</cp:coreProperties>
</file>